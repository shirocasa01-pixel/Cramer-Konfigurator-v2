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<sst xmlns="http://schemas.openxmlformats.org/spreadsheetml/2006/main" count="9706" uniqueCount="1599">
  <si>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</si>
  <si>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</si>
  <si>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</si>
  <si>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</si>
  <si>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</si>
  <si>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</si>
  <si>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</si>
  <si>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</si>
  <si>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</si>
  <si>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</si>
  <si>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</si>
  <si>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</si>
  <si>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</si>
  <si>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</si>
  <si>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</si>
  <si>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</si>
  <si>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</si>
  <si>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</si>
  <si>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</si>
  <si>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</si>
  <si>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</si>
  <si>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</si>
  <si>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</si>
  <si>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</si>
  <si>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</si>
  <si>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</si>
  <si>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</si>
  <si>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</si>
  <si>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</si>
  <si>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</si>
  <si>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</si>
  <si>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</si>
  <si>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</si>
  <si>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</si>
  <si>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</si>
  <si>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</si>
  <si>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</si>
  <si>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</si>
  <si>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</si>
  <si>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</si>
  <si>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</si>
  <si>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</si>
  <si>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</si>
  <si>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</si>
  <si>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</si>
  <si>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</si>
  <si>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</si>
  <si>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</si>
  <si>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</si>
  <si>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</si>
  <si>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</si>
  <si>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</si>
  <si>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</si>
  <si>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</si>
  <si>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</si>
  <si>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</si>
  <si>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</si>
  <si>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</si>
  <si>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</si>
  <si>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</si>
  <si>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</si>
  <si>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</si>
  <si>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</si>
  <si>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</si>
  <si>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</si>
  <si>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</si>
  <si>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</si>
  <si>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</si>
  <si>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</si>
  <si>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</si>
  <si>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</si>
  <si>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</si>
  <si>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</si>
  <si>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</si>
  <si>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</si>
  <si>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</si>
  <si>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</si>
  <si>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</si>
  <si>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</si>
  <si>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</si>
  <si>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</si>
  <si>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</si>
  <si>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</si>
  <si>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</si>
  <si>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</si>
  <si>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</si>
  <si>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</si>
  <si>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</si>
  <si>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</si>
  <si>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</si>
  <si>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</si>
  <si>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</si>
  <si>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</si>
  <si>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</si>
  <si>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</si>
  <si>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</si>
  <si>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</si>
  <si>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</si>
  <si>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</si>
  <si>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</si>
  <si>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</si>
  <si>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</si>
  <si>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</si>
  <si>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</si>
  <si>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</si>
  <si>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</si>
  <si>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</si>
  <si>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</si>
  <si>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</si>
  <si>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</si>
  <si>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</si>
  <si>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</si>
  <si>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</si>
  <si>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</si>
  <si>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</si>
  <si>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</si>
  <si>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</si>
  <si>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</si>
  <si>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</si>
  <si>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</si>
  <si>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</si>
  <si>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</si>
  <si>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</si>
  <si>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</si>
  <si>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</si>
  <si>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</si>
  <si>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</si>
  <si>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</si>
  <si>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</si>
  <si>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</si>
  <si>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</si>
  <si>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</si>
  <si>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</si>
  <si>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</si>
  <si>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</si>
  <si>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</si>
  <si>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</si>
  <si>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</si>
  <si>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</si>
  <si>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</si>
  <si>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</si>
  <si>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</si>
  <si>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</si>
  <si>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</si>
  <si>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</si>
  <si>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</si>
  <si>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</si>
  <si>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</si>
  <si>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</si>
  <si>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</si>
  <si>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</si>
  <si>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</si>
  <si>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</si>
  <si>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</si>
  <si>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</si>
  <si>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</si>
  <si>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</si>
  <si>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</si>
  <si>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</si>
  <si>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</si>
  <si>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</si>
  <si>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</si>
  <si>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</si>
  <si>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</si>
  <si>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</si>
  <si>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</si>
  <si>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</si>
  <si>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</si>
  <si>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</si>
  <si>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</si>
  <si>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</si>
  <si>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</si>
  <si>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</si>
  <si>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</si>
  <si>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</si>
  <si>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</si>
  <si>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</si>
  <si>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</si>
  <si>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</si>
  <si>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</si>
  <si>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</si>
  <si>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</si>
  <si>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</si>
  <si>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</si>
  <si>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</si>
  <si>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</si>
  <si>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</si>
  <si>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</si>
  <si>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</si>
  <si>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</si>
  <si>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</si>
  <si>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</si>
  <si>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</si>
  <si>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</si>
  <si>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</si>
  <si>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</si>
  <si>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</si>
  <si>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</si>
  <si>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</si>
  <si>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</si>
  <si>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</si>
  <si>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</si>
  <si>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</si>
  <si>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</si>
  <si>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</si>
  <si>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</si>
  <si>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</si>
  <si>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</si>
  <si>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</si>
  <si>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</si>
  <si>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</si>
  <si>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</si>
  <si>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</si>
  <si>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</si>
  <si>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</si>
  <si>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</si>
  <si>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</si>
  <si>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</si>
  <si>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</si>
  <si>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</si>
  <si>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</si>
  <si>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</si>
  <si>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</si>
  <si>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</si>
  <si>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</si>
  <si>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</si>
  <si>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</si>
  <si>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</si>
  <si>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</si>
  <si>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</si>
  <si>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</si>
  <si>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</si>
  <si>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</si>
  <si>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</si>
  <si>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</si>
  <si>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</si>
  <si>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</si>
  <si>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</si>
  <si>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</si>
  <si>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</si>
  <si>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</si>
  <si>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</si>
  <si>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</si>
  <si>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</si>
  <si>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</si>
  <si>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</si>
  <si>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</si>
  <si>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</si>
  <si>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</si>
  <si>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</si>
  <si>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</si>
  <si>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</si>
  <si>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</si>
  <si>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</si>
  <si>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</si>
  <si>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</si>
  <si>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</si>
  <si>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</si>
  <si>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</si>
  <si>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</si>
  <si>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</si>
  <si>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</si>
  <si>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</si>
  <si>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</si>
  <si>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</si>
  <si>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</si>
  <si>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</si>
  <si>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</si>
  <si>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</si>
  <si>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</si>
  <si>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</si>
  <si>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</si>
  <si>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</si>
  <si>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</si>
  <si>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</si>
  <si>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</si>
  <si>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</si>
  <si>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</si>
  <si>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</si>
  <si>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</si>
  <si>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</si>
  <si>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</si>
  <si>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</si>
  <si>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</si>
  <si>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</si>
  <si>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</si>
  <si>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</si>
  <si>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</si>
  <si>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</si>
  <si>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</si>
  <si>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</si>
  <si>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</si>
  <si>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</si>
  <si>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</si>
  <si>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</si>
  <si>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</si>
  <si>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</si>
  <si>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</si>
  <si>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</si>
  <si>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</si>
  <si>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</si>
  <si>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</si>
  <si>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</si>
  <si>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</si>
  <si>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</si>
  <si>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</si>
  <si>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</si>
  <si>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</si>
  <si>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</si>
  <si>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</si>
  <si>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</si>
  <si>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</si>
  <si>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</si>
  <si>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</si>
  <si>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</si>
  <si>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</si>
  <si>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</si>
  <si>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</si>
  <si>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</si>
  <si>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</si>
  <si>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</si>
  <si>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</si>
  <si>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</si>
  <si>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</si>
  <si>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</si>
  <si>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</si>
  <si>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</si>
  <si>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</si>
  <si>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</si>
  <si>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</si>
  <si>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</si>
  <si>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</si>
  <si>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</si>
  <si>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</si>
  <si>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</si>
  <si>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</si>
  <si>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</si>
  <si>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</si>
  <si>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</si>
  <si>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</si>
  <si>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</si>
  <si>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</si>
  <si>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</si>
  <si>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</si>
  <si>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</si>
  <si>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</si>
  <si>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</si>
  <si>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</si>
  <si>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</si>
  <si>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</si>
  <si>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</si>
  <si>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</si>
  <si>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</si>
  <si>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</si>
  <si>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</si>
  <si>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</si>
  <si>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</si>
  <si>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</si>
  <si>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</si>
  <si>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</si>
  <si>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</si>
  <si>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</si>
  <si>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</si>
  <si>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</si>
  <si>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</si>
  <si>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</si>
  <si>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</si>
  <si>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</si>
  <si>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</si>
  <si>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</si>
  <si>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</si>
  <si>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</si>
  <si>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</si>
  <si>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</si>
  <si>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</si>
  <si>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</si>
  <si>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</si>
  <si>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</si>
  <si>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</si>
  <si>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</si>
  <si>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</si>
  <si>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</si>
  <si>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</si>
  <si>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</si>
  <si>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</si>
  <si>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</si>
  <si>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</si>
  <si>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</si>
  <si>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</si>
  <si>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</si>
  <si>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</si>
  <si>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</si>
  <si>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</si>
  <si>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</si>
  <si>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</si>
  <si>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</si>
  <si>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</si>
  <si>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</si>
  <si>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</si>
  <si>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</si>
  <si>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</si>
  <si>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</si>
  <si>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</si>
  <si>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</si>
  <si>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</si>
  <si>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</si>
  <si>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</si>
  <si>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</si>
  <si>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</si>
  <si>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</si>
  <si>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</si>
  <si>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</si>
  <si>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</si>
  <si>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</si>
  <si>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</si>
  <si>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</si>
  <si>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</si>
  <si>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</si>
  <si>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</si>
  <si>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</si>
  <si>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</si>
  <si>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</si>
  <si>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</si>
  <si>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</si>
  <si>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</si>
  <si>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</si>
  <si>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</si>
  <si>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</si>
  <si>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</si>
  <si>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</si>
  <si>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</si>
  <si>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</si>
  <si>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</si>
  <si>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</si>
  <si>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</si>
  <si>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</si>
  <si>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</si>
  <si>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</si>
  <si>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</si>
  <si>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</si>
  <si>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</si>
  <si>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</si>
  <si>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</si>
  <si>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</si>
  <si>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</si>
  <si>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</si>
  <si>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</si>
  <si>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</si>
  <si>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</si>
  <si>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</si>
  <si>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</si>
  <si>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</si>
  <si>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</si>
  <si>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</si>
  <si>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</si>
  <si>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</si>
  <si>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</si>
  <si>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</si>
  <si>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</si>
  <si>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</si>
  <si>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</si>
  <si>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</si>
  <si>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</si>
  <si>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</si>
  <si>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</si>
  <si>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</si>
  <si>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</si>
  <si>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</si>
  <si>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</si>
  <si>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</si>
  <si>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</si>
  <si>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</si>
  <si>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</si>
  <si>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</si>
  <si>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</si>
  <si>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</si>
  <si>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</si>
  <si>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</si>
  <si>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</si>
  <si>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</si>
  <si>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</si>
  <si>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</si>
  <si>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</si>
  <si>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</si>
  <si>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</si>
  <si>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</si>
  <si>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</si>
  <si>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</si>
  <si>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</si>
  <si>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</si>
  <si>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</si>
  <si>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</si>
  <si>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</si>
  <si>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</si>
  <si>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</si>
  <si>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</si>
  <si>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</si>
  <si>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</si>
  <si>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</si>
  <si>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</si>
  <si>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</si>
  <si>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</si>
  <si>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</si>
  <si>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</si>
  <si>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</si>
  <si>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</si>
  <si>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</si>
  <si>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</si>
  <si>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</si>
  <si>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</si>
  <si>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</si>
  <si>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</si>
  <si>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</si>
  <si>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</si>
  <si>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</si>
  <si>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</si>
  <si>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</si>
  <si>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</si>
  <si>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</si>
  <si>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</si>
  <si>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</si>
  <si>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</si>
  <si>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</si>
  <si>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</si>
  <si>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</si>
  <si>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</si>
  <si>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</si>
  <si>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</si>
  <si>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</si>
  <si>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</si>
  <si>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</si>
  <si>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</si>
  <si>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</si>
  <si>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</si>
  <si>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</si>
  <si>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</si>
  <si>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</si>
  <si>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</si>
  <si>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</si>
  <si>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</si>
  <si>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</si>
  <si>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</si>
  <si>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</si>
  <si>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</si>
  <si>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</si>
  <si>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</si>
  <si>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</si>
  <si>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</si>
  <si>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</si>
  <si>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</si>
  <si>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</si>
  <si>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</si>
  <si>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</si>
  <si>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</si>
  <si>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</si>
  <si>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</si>
  <si>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</si>
  <si>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</si>
  <si>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</si>
  <si>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</si>
  <si>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</si>
  <si>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</si>
  <si>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</si>
  <si>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</si>
  <si>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</si>
  <si>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</si>
  <si>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</si>
  <si>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</si>
  <si>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</si>
  <si>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</si>
  <si>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</si>
  <si>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</si>
  <si>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</si>
  <si>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</si>
  <si>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</si>
  <si>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</si>
  <si>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</si>
  <si>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</si>
  <si>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</si>
  <si>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</si>
  <si>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</si>
  <si>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</si>
  <si>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</si>
  <si>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</si>
  <si>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</si>
  <si>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</si>
  <si>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</si>
  <si>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</si>
  <si>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</si>
  <si>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</si>
  <si>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</si>
  <si>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</si>
  <si>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</si>
  <si>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</si>
  <si>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</si>
  <si>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</si>
  <si>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</si>
  <si>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</si>
  <si>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</si>
  <si>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</si>
  <si>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</si>
  <si>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</si>
  <si>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</si>
  <si>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</si>
  <si>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</si>
  <si>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</si>
  <si>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</si>
  <si>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</si>
  <si>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</si>
  <si>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</si>
  <si>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</si>
  <si>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</si>
  <si>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</si>
  <si>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</si>
  <si>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</si>
  <si>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</si>
  <si>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</si>
  <si>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</si>
  <si>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</si>
  <si>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</si>
  <si>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</si>
  <si>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</si>
  <si>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</si>
  <si>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</si>
  <si>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</si>
  <si>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</si>
  <si>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</si>
  <si>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</si>
  <si>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</si>
  <si>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</si>
  <si>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</si>
  <si>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</si>
  <si>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</si>
  <si>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</si>
  <si>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</si>
  <si>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</si>
  <si>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</si>
  <si>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</si>
  <si>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</si>
  <si>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</si>
  <si>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</si>
  <si>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</si>
  <si>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</si>
  <si>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</si>
  <si>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</si>
  <si>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</si>
  <si>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</si>
  <si>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</si>
  <si>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</si>
  <si>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</si>
  <si>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</si>
  <si>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</si>
  <si>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</si>
  <si>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</si>
  <si>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</si>
  <si>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</si>
  <si>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</si>
  <si>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</si>
  <si>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</si>
  <si>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</si>
  <si>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</si>
  <si>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</si>
  <si>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</si>
  <si>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</si>
  <si>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</si>
  <si>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</si>
  <si>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</si>
  <si>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</si>
  <si>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</si>
  <si>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</si>
  <si>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</si>
  <si>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</si>
  <si>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</si>
  <si>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</si>
  <si>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</si>
  <si>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</si>
  <si>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</si>
  <si>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</si>
  <si>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</si>
  <si>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</si>
  <si>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</si>
  <si>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</si>
  <si>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</si>
  <si>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</si>
  <si>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</si>
  <si>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</si>
  <si>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</si>
  <si>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</si>
  <si>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</si>
  <si>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</si>
  <si>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</si>
  <si>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</si>
  <si>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</si>
  <si>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</si>
  <si>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</si>
  <si>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</si>
  <si>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</si>
  <si>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</si>
  <si>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</si>
  <si>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</si>
  <si>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</si>
  <si>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</si>
  <si>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</si>
  <si>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</si>
  <si>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</si>
  <si>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</si>
  <si>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</si>
  <si>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</si>
  <si>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</si>
  <si>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</si>
  <si>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</si>
  <si>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</si>
  <si>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</si>
  <si>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</si>
  <si>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</si>
  <si>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</si>
  <si>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</si>
  <si>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</si>
  <si>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</si>
  <si>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</si>
  <si>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</si>
  <si>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</si>
  <si>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</si>
  <si>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</si>
  <si>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</si>
  <si>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</si>
  <si>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</si>
  <si>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</si>
  <si>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</si>
  <si>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</si>
  <si>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</si>
  <si>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</si>
  <si>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</si>
  <si>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</si>
  <si>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</si>
  <si>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</si>
  <si>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</si>
  <si>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</si>
  <si>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</si>
  <si>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</si>
  <si>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</si>
  <si>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</si>
  <si>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</si>
  <si>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</si>
  <si>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</si>
  <si>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</si>
  <si>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</si>
  <si>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</si>
  <si>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</si>
  <si>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</si>
  <si>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</si>
  <si>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</si>
  <si>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</si>
  <si>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</si>
  <si>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</si>
  <si>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</si>
  <si>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</si>
  <si>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</si>
  <si>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</si>
  <si>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</si>
  <si>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</si>
  <si>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</si>
  <si>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</si>
  <si>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</si>
  <si>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</si>
  <si>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</si>
  <si>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</si>
  <si>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</si>
  <si>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</si>
  <si>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</si>
  <si>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</si>
  <si>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</si>
  <si>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</si>
  <si>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</si>
  <si>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</si>
  <si>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</si>
  <si>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</si>
  <si>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</si>
  <si>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</si>
  <si>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</si>
  <si>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</si>
  <si>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</si>
  <si>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</si>
  <si>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</si>
  <si>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</si>
  <si>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</si>
  <si>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</si>
  <si>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</si>
  <si>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</si>
  <si>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</si>
  <si>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</si>
  <si>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</si>
  <si>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</si>
  <si>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</si>
  <si>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</si>
  <si>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</si>
  <si>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</si>
  <si>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</si>
  <si>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</si>
  <si>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</si>
  <si>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</si>
  <si>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</si>
  <si>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</si>
  <si>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</si>
  <si>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</si>
  <si>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</si>
  <si>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</si>
  <si>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</si>
  <si>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</si>
  <si>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</si>
  <si>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</si>
  <si>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</si>
  <si>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</si>
  <si>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</si>
  <si>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</si>
  <si>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</si>
  <si>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</si>
  <si>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</si>
  <si>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</si>
  <si>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</si>
  <si>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</si>
  <si>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</si>
  <si>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</si>
  <si>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</si>
  <si>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</si>
  <si>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</si>
  <si>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</si>
  <si>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</si>
  <si>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</si>
  <si>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</si>
  <si>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</si>
  <si>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</si>
  <si>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</si>
  <si>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</si>
  <si>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</si>
  <si>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</si>
  <si>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</si>
  <si>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</si>
  <si>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</si>
  <si>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</si>
  <si>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</si>
  <si>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</si>
  <si>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</si>
  <si>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</si>
  <si>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</si>
  <si>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</si>
  <si>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</si>
  <si>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</si>
  <si>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</si>
  <si>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</si>
  <si>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</si>
  <si>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</si>
  <si>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</si>
  <si>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</si>
  <si>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</si>
  <si>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</si>
  <si>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</si>
  <si>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</si>
  <si>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</si>
  <si>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</si>
  <si>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</si>
  <si>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</si>
  <si>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</si>
  <si>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</si>
  <si>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</si>
  <si>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</si>
  <si>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</si>
  <si>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</si>
  <si>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</si>
  <si>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</si>
  <si>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</si>
  <si>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</si>
  <si>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</si>
  <si>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</si>
  <si>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</si>
  <si>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</si>
  <si>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</si>
  <si>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</si>
  <si>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</si>
  <si>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</si>
  <si>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</si>
  <si>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</si>
  <si>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</si>
  <si>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</si>
  <si>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</si>
  <si>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</si>
  <si>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</si>
  <si>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</si>
  <si>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</si>
  <si>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</si>
  <si>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</si>
  <si>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</si>
  <si>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</si>
  <si>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</si>
  <si>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</si>
  <si>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</si>
  <si>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</si>
  <si>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</si>
  <si>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</si>
  <si>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</si>
  <si>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</si>
  <si>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</si>
  <si>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</si>
  <si>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</si>
  <si>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</si>
  <si>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</si>
  <si>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</si>
  <si>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</si>
  <si>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</si>
  <si>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</si>
  <si>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</si>
  <si>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</si>
  <si>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</si>
  <si>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</si>
  <si>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</si>
  <si>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</si>
  <si>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</si>
  <si>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</si>
  <si>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</si>
  <si>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</si>
  <si>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</si>
  <si>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</si>
  <si>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</si>
  <si>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</si>
  <si>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</si>
  <si>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</si>
  <si>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</si>
  <si>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</si>
  <si>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</si>
  <si>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</si>
  <si>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</si>
  <si>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</si>
  <si>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</si>
  <si>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</si>
  <si>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</si>
  <si>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</si>
  <si>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</si>
  <si>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</si>
  <si>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</si>
  <si>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</si>
  <si>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</si>
  <si>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</si>
  <si>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</si>
  <si>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</si>
  <si>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</si>
  <si>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</si>
  <si>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</si>
  <si>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</si>
  <si>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</si>
  <si>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</si>
  <si>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</si>
  <si>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</si>
  <si>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</si>
  <si>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</si>
  <si>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</si>
  <si>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</si>
  <si>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</si>
  <si>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</si>
  <si>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</si>
  <si>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</si>
  <si>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</si>
  <si>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</si>
  <si>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</si>
  <si>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</si>
  <si>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</si>
  <si>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</si>
  <si>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</si>
  <si>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</si>
  <si>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</si>
  <si>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</si>
  <si>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</si>
  <si>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</si>
  <si>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</si>
  <si>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</si>
  <si>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</si>
  <si>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</si>
  <si>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</si>
  <si>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</si>
  <si>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</si>
  <si>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</si>
  <si>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</si>
  <si>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</si>
  <si>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</si>
  <si>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</si>
  <si>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</si>
  <si>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</si>
  <si>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</si>
  <si>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</si>
  <si>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</si>
  <si>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</si>
  <si>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</si>
  <si>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</si>
  <si>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</si>
  <si>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</si>
  <si>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</si>
  <si>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</si>
  <si>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</si>
  <si>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</si>
  <si>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</si>
  <si>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</si>
  <si>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</si>
  <si>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</si>
  <si>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</si>
  <si>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</si>
  <si>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</si>
  <si>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</si>
  <si>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</si>
  <si>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</si>
  <si>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</si>
  <si>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</si>
  <si>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</si>
  <si>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</si>
  <si>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</si>
  <si>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</si>
  <si>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</si>
  <si>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</si>
  <si>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</si>
  <si>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</si>
  <si>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</si>
  <si>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</si>
  <si>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</si>
  <si>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</si>
  <si>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</si>
  <si>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</si>
  <si>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</si>
  <si>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</si>
  <si>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</si>
  <si>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</si>
  <si>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</si>
  <si>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</si>
  <si>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</si>
  <si>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</si>
  <si>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</si>
  <si>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</si>
  <si>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</si>
  <si>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</si>
  <si>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</si>
  <si>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</si>
  <si>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</si>
  <si>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</si>
  <si>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</si>
  <si>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</si>
  <si>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</si>
  <si>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</si>
  <si>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</si>
  <si>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</si>
  <si>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</si>
  <si>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</si>
  <si>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</si>
  <si>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</si>
  <si>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</si>
  <si>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</si>
  <si>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</si>
  <si>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</si>
  <si>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</si>
  <si>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</si>
  <si>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</si>
  <si>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</si>
  <si>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</si>
  <si>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</si>
  <si>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</si>
  <si>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</si>
  <si>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</si>
  <si>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</si>
  <si>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</si>
  <si>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</si>
  <si>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</si>
  <si>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</si>
  <si>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</si>
  <si>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</si>
  <si>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</si>
  <si>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</si>
  <si>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</si>
  <si>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</si>
  <si>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</si>
  <si>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</si>
  <si>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</si>
  <si>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</si>
  <si>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</si>
  <si>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</si>
  <si>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</si>
  <si>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</si>
  <si>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</si>
  <si>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</si>
  <si>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</si>
  <si>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</si>
  <si>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</si>
  <si>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</si>
  <si>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</si>
  <si>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</si>
  <si>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</si>
  <si>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</si>
  <si>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</si>
  <si>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</si>
  <si>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</si>
  <si>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</si>
  <si>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</si>
  <si>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</si>
  <si>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</si>
  <si>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</si>
  <si>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</si>
  <si>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</si>
  <si>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</si>
  <si>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</si>
  <si>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</si>
  <si>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</si>
  <si>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</si>
  <si>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</si>
  <si>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</si>
  <si>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</si>
  <si>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</si>
  <si>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</si>
  <si>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</si>
  <si>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</si>
  <si>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</si>
  <si>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</si>
  <si>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</si>
  <si>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</si>
  <si>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</si>
  <si>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</si>
  <si>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</si>
  <si>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</si>
  <si>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</si>
  <si>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</si>
  <si>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</si>
  <si>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</si>
  <si>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</si>
  <si>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</si>
  <si>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</si>
  <si>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</si>
  <si>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</si>
  <si>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</si>
  <si>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</si>
  <si>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</si>
  <si>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</si>
  <si>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</si>
  <si>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</si>
  <si>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</si>
  <si>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</si>
  <si>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</si>
  <si>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</si>
  <si>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</si>
  <si>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</si>
  <si>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</si>
  <si>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</si>
  <si>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</si>
  <si>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</si>
  <si>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</si>
  <si>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</si>
  <si>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</si>
  <si>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</si>
  <si>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</si>
  <si>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</si>
  <si>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</si>
  <si>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</si>
  <si>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</si>
  <si>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</si>
  <si>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</si>
  <si>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</si>
  <si>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</si>
  <si>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</si>
  <si>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</si>
  <si>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</si>
  <si>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</si>
  <si>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</si>
  <si>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</si>
  <si>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</si>
  <si>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</si>
  <si>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</si>
  <si>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</si>
  <si>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</si>
  <si>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</si>
  <si>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</si>
  <si>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</si>
  <si>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</si>
  <si>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</si>
  <si>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</si>
  <si>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</si>
  <si>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</si>
  <si>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</si>
  <si>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</si>
  <si>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</si>
  <si>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</si>
  <si>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</si>
  <si>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</si>
  <si>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</si>
  <si>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</si>
  <si>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</si>
  <si>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</si>
  <si>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</si>
  <si>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</si>
  <si>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</si>
  <si>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</si>
  <si>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</si>
  <si>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</si>
  <si>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</si>
  <si>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</si>
  <si>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</si>
  <si>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</si>
  <si>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</si>
  <si>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</si>
  <si>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</si>
  <si>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</si>
  <si>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</si>
  <si>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</si>
  <si>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</si>
  <si>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</si>
  <si>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</si>
  <si>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</si>
  <si>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</si>
  <si>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</si>
  <si>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</si>
  <si>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</si>
  <si>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</si>
  <si>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</si>
  <si>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</si>
  <si>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</si>
  <si>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</si>
  <si>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</si>
  <si>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</si>
  <si>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</si>
  <si>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</si>
  <si>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</si>
  <si>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</si>
  <si>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</si>
  <si>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</si>
  <si>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</si>
  <si>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</si>
  <si>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</si>
  <si>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</si>
  <si>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</si>
  <si>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</si>
  <si>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</si>
  <si>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</si>
  <si>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</si>
  <si>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</si>
  <si>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</si>
  <si>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</si>
  <si>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</si>
  <si>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</si>
  <si>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</si>
  <si>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</si>
  <si>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</si>
  <si>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</si>
  <si>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</si>
  <si>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</si>
  <si>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</si>
  <si>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</si>
  <si>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</si>
  <si>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</si>
  <si>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</si>
  <si>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</si>
  <si>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</si>
  <si>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</si>
  <si>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</si>
  <si>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</si>
  <si>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</si>
  <si>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</si>
  <si>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</si>
  <si>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</si>
  <si>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</si>
  <si>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</si>
  <si>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</si>
  <si>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</si>
  <si>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</si>
  <si>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</si>
  <si>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</si>
  <si>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</si>
  <si>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</si>
  <si>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</si>
  <si>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</si>
  <si>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</si>
  <si>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</si>
  <si>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</si>
  <si>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</si>
  <si>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</si>
  <si>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</si>
  <si>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</si>
  <si>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</si>
  <si>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</si>
  <si>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</si>
  <si>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</si>
  <si>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</si>
  <si>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</si>
  <si>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</si>
  <si>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</si>
  <si>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</si>
  <si>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</si>
  <si>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</si>
  <si>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</si>
  <si>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</si>
  <si>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</si>
  <si>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</si>
  <si>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</si>
  <si>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</si>
  <si>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</si>
  <si>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</si>
  <si>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</si>
  <si>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</si>
  <si>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</si>
  <si>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</si>
  <si>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</si>
  <si>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</si>
  <si>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</si>
  <si>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</si>
  <si>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</si>
  <si>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</si>
  <si>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</si>
  <si>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</si>
  <si>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</si>
  <si>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</si>
  <si>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</si>
  <si>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</si>
  <si>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</si>
  <si>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</si>
  <si>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</si>
  <si>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</si>
  <si>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</si>
  <si>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</si>
  <si>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</si>
  <si>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</si>
  <si>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</si>
  <si>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</si>
  <si>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</si>
  <si>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</si>
  <si>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</si>
  <si>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</si>
  <si>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</si>
  <si>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</si>
  <si>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</si>
  <si>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</si>
  <si>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</si>
  <si>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</si>
  <si>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</si>
  <si>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</si>
  <si>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</si>
  <si>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</si>
  <si>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</si>
  <si>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</si>
  <si>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</si>
  <si>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</si>
  <si>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</si>
  <si>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</si>
  <si>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</si>
  <si>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</si>
  <si>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</si>
  <si>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</si>
  <si>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</si>
  <si>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</si>
  <si>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</si>
  <si>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</si>
  <si>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</si>
  <si>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</si>
  <si>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</si>
  <si>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</si>
  <si>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</si>
  <si>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</si>
  <si>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</si>
  <si>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</si>
  <si>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</si>
  <si>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</si>
  <si>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</si>
  <si>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</si>
  <si>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</si>
  <si>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</si>
  <si>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</si>
  <si>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</si>
  <si>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</si>
  <si>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</si>
  <si>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</si>
  <si>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</si>
  <si>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</si>
  <si>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</si>
  <si>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</si>
  <si>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</si>
  <si>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</si>
  <si>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</si>
  <si>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</si>
  <si>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</si>
  <si>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</si>
  <si>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</si>
  <si>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</si>
  <si>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</si>
  <si>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</si>
  <si>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</si>
  <si>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</si>
  <si>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</si>
  <si>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</si>
  <si>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</si>
  <si>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</si>
  <si>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</si>
  <si>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</si>
  <si>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</si>
  <si>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</si>
  <si>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</si>
  <si>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</si>
  <si>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</si>
  <si>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</si>
  <si>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</si>
  <si>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</si>
  <si>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</si>
  <si>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</si>
  <si>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</si>
  <si>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</si>
  <si>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</si>
  <si>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</si>
  <si>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</si>
  <si>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</si>
  <si>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</si>
  <si>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</si>
  <si>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</si>
  <si>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</si>
  <si>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</si>
  <si>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</si>
  <si>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</si>
  <si>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</si>
  <si>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</si>
  <si>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</si>
  <si>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</si>
  <si>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</si>
  <si>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</si>
  <si>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</si>
  <si>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</si>
  <si>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</si>
  <si>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</si>
  <si>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</si>
  <si>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</si>
  <si>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</si>
  <si>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</si>
  <si>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</si>
  <si>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</si>
  <si>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</si>
  <si>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</si>
  <si>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</si>
  <si>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</si>
  <si>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</si>
  <si>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</si>
  <si>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</si>
  <si>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</si>
  <si>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</si>
  <si>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</si>
  <si>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</si>
  <si>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</si>
  <si>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</si>
  <si>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</si>
  <si>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</si>
  <si>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</si>
  <si>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</si>
  <si>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</si>
  <si>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</si>
  <si>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</si>
  <si>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</si>
  <si>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</si>
  <si>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</si>
  <si>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</si>
  <si>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</si>
  <si>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</si>
  <si>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</si>
  <si>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</si>
  <si>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</si>
  <si>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</si>
  <si>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</si>
  <si>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</si>
  <si>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</si>
  <si>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</si>
  <si>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</si>
  <si>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</si>
  <si>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</si>
  <si>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</si>
  <si>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</si>
  <si>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</si>
  <si>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</si>
  <si>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</si>
  <si>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</si>
  <si>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</si>
  <si>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</si>
  <si>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</si>
  <si>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</si>
  <si>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</si>
  <si>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</si>
  <si>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</si>
  <si>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</si>
  <si>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</si>
  <si>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</si>
  <si>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</si>
  <si>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</si>
  <si>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</si>
  <si>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</si>
  <si>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</si>
  <si>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</si>
  <si>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</si>
  <si>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</si>
  <si>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</si>
  <si>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</si>
  <si>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</si>
  <si>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</si>
  <si>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</si>
  <si>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</si>
  <si>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</si>
  <si>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</si>
  <si>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</si>
  <si>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</si>
  <si>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</si>
  <si>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</si>
  <si>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</si>
  <si>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</si>
  <si>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</si>
  <si>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</si>
  <si>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</si>
  <si>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</si>
  <si>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</si>
  <si>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</si>
  <si>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</si>
  <si>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</si>
  <si>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</si>
  <si>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</si>
  <si>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</si>
  <si>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</si>
  <si>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</si>
  <si>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</si>
  <si>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</si>
  <si>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</si>
  <si>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</si>
  <si>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</si>
  <si>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</si>
  <si>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</si>
  <si>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</si>
  <si>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</si>
  <si>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</si>
  <si>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</si>
  <si>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</si>
  <si>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</si>
  <si>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</si>
  <si>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</si>
  <si>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</si>
  <si>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</si>
  <si>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</si>
  <si>
    <t xml:space="preserve">raumteilerZuschlagPct</t>
  </si>
  <si>
    <t xml:space="preserve">0.05</t>
  </si>
  <si>
    <t xml:space="preserve">Raumteiler-Aufschlag auf den Möbelpreis (0.05 = 5 %), Art. ZUS-001</t>
  </si>
  <si>
    <t xml:space="preserve">sichtrueckwandZuschlagPct</t>
  </si>
  <si>
    <t xml:space="preserve">0.1</t>
  </si>
  <si>
    <t xml:space="preserve">Sichtrückwand-Aufschlag auf den Möbelpreis (0.1 = 10 %), Art. ZUS-004</t>
  </si>
  <si>
    <t xml:space="preserve">Aufschlag 5 % auf den Möbelpreis — wird automatisch kalkuliert, sobald im Schritt „Material" „Raumteiler" angehakt ist. Satz: „50 Meta", raumteilerZuschlagPct.</t>
  </si>
  <si>
    <t xml:space="preserve">Aufschlag 10 % auf den Möbelpreis — wird automatisch kalkuliert, sobald im Schritt „Material" „Sicht-Rückwand" angehakt ist. Satz: „50 Meta", sichtrueckwandZuschlagPct.</t>
  </si>
  <si>
    <t xml:space="preserve">HOEHE × TIEFE × PG</t>
  </si>
  <si>
    <t xml:space="preserve">S. 26 · S. 13–15</t>
  </si>
  <si>
    <t xml:space="preserve">Überarbeitung 8: PG 1 = Refugium-Mittelseite (Preisliste S. 26), für alle Tiefen gleich. PG 2–4 = Atrium „Seite (2,0 cm)" derselben Tiefe (S. 13 / 14 / 15); 21 R = 18 R × 1,20 (S. 32 „Überhöhe bis 21R"). Bei unterschiedlichen Innenmaterialien gilt die höchste Preisgruppe der Korpi.</t>
  </si>
  <si>
    <t xml:space="preserve">BREITE × TIEFE × PG</t>
  </si>
  <si>
    <t xml:space="preserve">Überarbeitung 8: Material = Innenkorpus, keine eigene Auswahl. PG 1 = Refugium-Preis (S. 26), für alle Tiefen gleich. PG 2–4 = Atrium „Aufpreis für zusätzliche Böden" (S. 13 bis 31 cm, S. 14 bis 41 cm, S. 15 bis 60 cm Korpustiefe). Fertigungsmaße: 50er = 49,5cm · 60er = 59,5cm · 100er = 98,8cm.</t>
  </si>
  <si>
    <t xml:space="preserve">Kleiderstange - Aufpreis zum Einlegeboden, fest/verstellbar</t>
  </si>
  <si>
    <t xml:space="preserve">Überarbeitung 8: „Einlegeboden inkl. Kleiderstange" = Bodenpreis (BOD-001, Material wie Innenkorpus) + dieser Aufpreis. Gegenprobe Preisliste S. 26: 55 / 60 / 70 € = 40 / 45 / 55 € Boden + 15 €. Chrom und Schwarz sind preisgleich.</t>
  </si>
  <si>
    <t xml:space="preserve">Überarbeitung 9: 21-Raster-Zeilen = 18-Raster-Preis × 1,20 (Preisliste S. 32 „Überhöhe bis 21R … Fronten zzgl 20% auf den Preis des 18R Elementes"). Fertige Preiszeilen, der Konfigurator rechnet nichts auf.</t>
  </si>
  <si>
    <t xml:space="preserve">beleuchtungTiefenzugabeMm</t>
  </si>
  <si>
    <t xml:space="preserve">Zusätzliche Korpustiefe (ohne Front) in mm, sobald eine Beleuchtung (LED-Band/Syncro) gewählt ist — Kabelführung zwischen Rückwand und Mauer. Nur Planungsmaß, keine Preisachse.</t>
  </si>
  <si>
    <t xml:space="preserve">Ein fest hinterlegter Preis.</t>
  </si>
  <si>
    <t xml:space="preserve">Festpreis</t>
  </si>
  <si>
    <t xml:space="preserve">MATRIX_STUFE</t>
  </si>
  <si>
    <t xml:space="preserve">Matrix – Lookup über die Achsen. Maße gehen auf die nächste hinterlegte Stufe.</t>
  </si>
  <si>
    <t xml:space="preserve">Matrix – Stufenpreis</t>
  </si>
  <si>
    <t xml:space="preserve">MATRIX_MASS</t>
  </si>
  <si>
    <t xml:space="preserve">Matrix – Lookup über die Achsen. Betrag je Einheit × tatsächliches Maß, ohne Stufen.</t>
  </si>
  <si>
    <t xml:space="preserve">Matrix – Maßgenau</t>
  </si>
  <si>
    <t xml:space="preserve">FEST_PLUS_MATRIX</t>
  </si>
  <si>
    <t xml:space="preserve">Fester Grundpreis plus variabler Matrixpreis, z. B. je laufendem Meter.</t>
  </si>
  <si>
    <t xml:space="preserve">Festpreis + Matrix</t>
  </si>
  <si>
    <t xml:space="preserve">AUFSCHLAG</t>
  </si>
  <si>
    <t xml:space="preserve">Prozentsatz oder Betrag auf eine festgelegte Preisbasis.</t>
  </si>
  <si>
    <t xml:space="preserve">Aufschlag</t>
  </si>
  <si>
    <t xml:space="preserve">Bewusst ohne automatischen Preis.</t>
  </si>
  <si>
    <t xml:space="preserve">Aufschlag-Einheit</t>
  </si>
  <si>
    <t xml:space="preserve">Aufschlag-Basis</t>
  </si>
  <si>
    <t xml:space="preserve">Preislisten-Nr.</t>
  </si>
  <si>
    <t xml:space="preserve">5</t>
  </si>
  <si>
    <t xml:space="preserve">%</t>
  </si>
  <si>
    <t xml:space="preserve">MOEBELPREIS</t>
  </si>
  <si>
    <t xml:space="preserve">Preisart Aufschlag: % auf den Möbelpreis (Summe aller Artikelpositionen). Wird automatisch berechnet, sobald im Schritt „Material" „Raumteiler" angehakt ist, und gehört zum Gesamtmöbelpreis. Preisliste S. 33: Rückwand 10 mm einspringend.</t>
  </si>
  <si>
    <t xml:space="preserve">Preisart Aufschlag: % auf den Möbelpreis (Summe aller Artikelpositionen). Wird automatisch berechnet, sobald im Schritt „Material" „Sicht-Rückwand" angehakt ist, und gehört zum Gesamtmöbelpreis. Preisliste S. 33: Rückwand 1 mm einspringend.</t>
  </si>
  <si>
    <t xml:space="preserve">70-90-15-0001</t>
  </si>
  <si>
    <t xml:space="preserve">SRV-001</t>
  </si>
  <si>
    <t xml:space="preserve">Montage</t>
  </si>
  <si>
    <t xml:space="preserve">Serviceleistungen</t>
  </si>
  <si>
    <t xml:space="preserve">SERVICE</t>
  </si>
  <si>
    <t xml:space="preserve">Preisliste 06.2026, Art. 21033</t>
  </si>
  <si>
    <t xml:space="preserve">Preisart Aufschlag auf den Gesamtmöbelpreis (Möbelpreis inkl. artikelbezogener Aufschläge). Nachgelagert: verändert den Möbelpreis nicht und rechnet unabhängig von der Lieferung. Im Abschluss per Häkchen abwählbar (Vorgabe: an). Preisliste 06.2026, Art. 21033.</t>
  </si>
  <si>
    <t xml:space="preserve">GESAMTMOEBELPREIS</t>
  </si>
  <si>
    <t xml:space="preserve">21033</t>
  </si>
  <si>
    <t xml:space="preserve">70-90-15-0002</t>
  </si>
  <si>
    <t xml:space="preserve">SRV-002</t>
  </si>
  <si>
    <t xml:space="preserve">Lieferung regional</t>
  </si>
  <si>
    <t xml:space="preserve">Preisliste 06.2026, Art. 21032</t>
  </si>
  <si>
    <t xml:space="preserve">Preisart Aufschlag auf den Gesamtmöbelpreis (Möbelpreis inkl. artikelbezogener Aufschläge). Nachgelagert: verändert den Möbelpreis nicht und rechnet unabhängig von der Montage. Im Abschluss per Häkchen abwählbar (Vorgabe: an). Preisliste 06.2026, Art. 21032.</t>
  </si>
  <si>
    <t xml:space="preserve">21032</t>
  </si>
  <si>
    <t xml:space="preserve">Serviceleistung</t>
  </si>
  <si>
    <t xml:space="preserve">70-90-15-</t>
  </si>
  <si>
    <t xml:space="preserve">entfällt — Satz steht im Artikel 90-039-0001 „Montage" (Artikelverwaltung, Preisart Aufschlag)</t>
  </si>
  <si>
    <t xml:space="preserve">entfällt — Satz steht im Artikel 90-039-0002 „Lieferung regional" (Artikelverwaltung, Preisart Aufschlag)</t>
  </si>
  <si>
    <t xml:space="preserve">entfällt — Satz steht im Artikel 90-037-0001 „Raumteiler" (Artikelverwaltung, Preisart Aufschlag)</t>
  </si>
  <si>
    <t xml:space="preserve">entfällt — Satz steht im Artikel 90-037-0004 „Sichtrueckwand" (Artikelverwaltung, Preisart Aufschlag)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</si>
</sst>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  <c r="W1" s="6" t="s">
        <v>1568</v>
      </c>
      <c r="X1" s="6" t="s">
        <v>1570</v>
      </c>
      <c r="Y1" s="6" t="s">
        <v>1571</v>
      </c>
      <c r="Z1" s="6" t="s">
        <v>1572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1557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1557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1557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1563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1557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1557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1557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1560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1563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1563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1566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1576</v>
      </c>
      <c r="W20" s="7">
        <v>5</v>
      </c>
      <c r="X20" s="7" t="s">
        <v>1574</v>
      </c>
      <c r="Y20" s="7" t="s">
        <v>1575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1566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1577</v>
      </c>
      <c r="W25" s="7">
        <v>10</v>
      </c>
      <c r="X25" s="7" t="s">
        <v>1574</v>
      </c>
      <c r="Y25" s="7" t="s">
        <v>1575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1563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1563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1560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1560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1563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1563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1557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1557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1557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1557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1557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1557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1557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1557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1557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1557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1557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1557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1557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1563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1557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1557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1557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1557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1557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1557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1557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1557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1557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140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1552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1560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1557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1557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1557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1557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1557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1557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1560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1557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1557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1557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1557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1557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1557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1557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1557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1557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1557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1557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1557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1557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1557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1557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1557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1557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1557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1557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1557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1557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1557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1557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1557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1557</v>
      </c>
      <c r="J144" s="8" t="s">
        <v>98</v>
      </c>
      <c r="K144" s="8" t="s">
        <v>1548</v>
      </c>
      <c r="L144" s="8" t="s">
        <v>99</v>
      </c>
      <c r="M144" s="8" t="s">
        <v>514</v>
      </c>
      <c r="N144" s="8" t="s">
        <v>108</v>
      </c>
      <c r="O144" s="8" t="s">
        <v>1310</v>
      </c>
      <c r="P144" s="8" t="s">
        <v>1310</v>
      </c>
      <c r="Q144" s="8">
        <v>36</v>
      </c>
      <c r="R144" s="8" t="s">
        <v>100</v>
      </c>
      <c r="S144" s="8" t="s">
        <v>101</v>
      </c>
      <c r="T144" s="8">
        <v>10</v>
      </c>
      <c r="U144" s="8" t="s">
        <v>1546</v>
      </c>
      <c r="V144" s="8" t="s">
        <v>1549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1557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1557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1557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1557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1550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1557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1551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1557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1557</v>
      </c>
      <c r="J153" s="8" t="s">
        <v>98</v>
      </c>
      <c r="K153" s="8" t="s">
        <v>1545</v>
      </c>
      <c r="L153" s="8" t="s">
        <v>1288</v>
      </c>
      <c r="M153" s="8" t="s">
        <v>514</v>
      </c>
      <c r="N153" s="8" t="s">
        <v>108</v>
      </c>
      <c r="O153" s="8" t="s">
        <v>1310</v>
      </c>
      <c r="P153" s="8" t="s">
        <v>1310</v>
      </c>
      <c r="Q153" s="8">
        <v>24</v>
      </c>
      <c r="R153" s="8" t="s">
        <v>100</v>
      </c>
      <c r="S153" s="8" t="s">
        <v>101</v>
      </c>
      <c r="T153" s="8">
        <v>10</v>
      </c>
      <c r="U153" s="8" t="s">
        <v>1546</v>
      </c>
      <c r="V153" s="8" t="s">
        <v>1547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1557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1557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1557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1557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1557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1557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1557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1557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1557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1557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1557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1557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1557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1557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1560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1560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1563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1563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1557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1557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1557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1557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1557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1560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1557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1557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1557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1557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1557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1557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1557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1557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1557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1557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1557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1557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1557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1557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1557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1557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1557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1557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1557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1557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1557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1557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1557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1557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1557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  <row r="216" customFormat="false" ht="15" hidden="false" customHeight="false" outlineLevel="0" collapsed="false">
      <c r="A216" s="7" t="s">
        <v>1578</v>
      </c>
      <c r="B216" s="8" t="s">
        <v>1579</v>
      </c>
      <c r="C216" s="8" t="s">
        <v>1580</v>
      </c>
      <c r="D216" s="8" t="s">
        <v>1581</v>
      </c>
      <c r="E216" s="8" t="s">
        <v>197</v>
      </c>
      <c r="F216" s="8" t="s">
        <v>197</v>
      </c>
      <c r="G216" s="8" t="s">
        <v>1582</v>
      </c>
      <c r="H216" s="9" t="s">
        <v>124</v>
      </c>
      <c r="I216" s="10" t="s">
        <v>1566</v>
      </c>
      <c r="J216" s="8" t="s">
        <v>1328</v>
      </c>
      <c r="K216" s="8" t="s">
        <v>126</v>
      </c>
      <c r="Q216" s="8">
        <v>0</v>
      </c>
      <c r="R216" s="8" t="s">
        <v>127</v>
      </c>
      <c r="S216" s="8" t="s">
        <v>101</v>
      </c>
      <c r="T216" s="8">
        <v>10</v>
      </c>
      <c r="U216" s="8" t="s">
        <v>1583</v>
      </c>
      <c r="V216" s="7" t="s">
        <v>1584</v>
      </c>
      <c r="W216" s="7">
        <v>10</v>
      </c>
      <c r="X216" s="7" t="s">
        <v>1574</v>
      </c>
      <c r="Y216" s="7" t="s">
        <v>1585</v>
      </c>
      <c r="Z216" s="7" t="s">
        <v>1586</v>
      </c>
    </row>
    <row r="217" customFormat="false" ht="15" hidden="false" customHeight="false" outlineLevel="0" collapsed="false">
      <c r="A217" s="7" t="s">
        <v>1587</v>
      </c>
      <c r="B217" s="8" t="s">
        <v>1588</v>
      </c>
      <c r="C217" s="8" t="s">
        <v>1589</v>
      </c>
      <c r="D217" s="8" t="s">
        <v>1581</v>
      </c>
      <c r="E217" s="8" t="s">
        <v>197</v>
      </c>
      <c r="F217" s="8" t="s">
        <v>197</v>
      </c>
      <c r="G217" s="8" t="s">
        <v>1582</v>
      </c>
      <c r="H217" s="9" t="s">
        <v>124</v>
      </c>
      <c r="I217" s="10" t="s">
        <v>1566</v>
      </c>
      <c r="J217" s="8" t="s">
        <v>1328</v>
      </c>
      <c r="K217" s="8" t="s">
        <v>126</v>
      </c>
      <c r="Q217" s="8">
        <v>0</v>
      </c>
      <c r="R217" s="8" t="s">
        <v>127</v>
      </c>
      <c r="S217" s="8" t="s">
        <v>101</v>
      </c>
      <c r="T217" s="8">
        <v>20</v>
      </c>
      <c r="U217" s="8" t="s">
        <v>1590</v>
      </c>
      <c r="V217" s="7" t="s">
        <v>1591</v>
      </c>
      <c r="W217" s="7">
        <v>3</v>
      </c>
      <c r="X217" s="7" t="s">
        <v>1574</v>
      </c>
      <c r="Y217" s="7" t="s">
        <v>1585</v>
      </c>
      <c r="Z217" s="7" t="s">
        <v>1592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1357</v>
      </c>
      <c r="L900" s="8" t="s">
        <v>850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1357</v>
      </c>
      <c r="L901" s="8" t="s">
        <v>850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1357</v>
      </c>
      <c r="L902" s="8" t="s">
        <v>850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15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15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15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1357</v>
      </c>
      <c r="L932" s="8" t="s">
        <v>850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1357</v>
      </c>
      <c r="L933" s="8" t="s">
        <v>850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210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270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330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  <row r="1884" customFormat="false" ht="15" hidden="false" customHeight="false" outlineLevel="0" collapsed="false">
      <c r="A1884" s="11" t="s">
        <v>689</v>
      </c>
      <c r="B1884" s="12" t="str">
        <f>IFERROR(INDEX('10 Artikel'!$C:$C,MATCH($A1884,'10 Artikel'!$A:$A,0)),"")</f>
        <v>Mittelseite</v>
      </c>
      <c r="C1884" s="12" t="str">
        <f>IFERROR(INDEX('10 Artikel'!$E:$E,MATCH($A1884,'10 Artikel'!$A:$A,0)),"")</f>
        <v>STRUKTUR</v>
      </c>
      <c r="D1884" s="12" t="str">
        <f>IFERROR(INDEX('10 Artikel'!$F:$F,MATCH($A1884,'10 Artikel'!$A:$A,0)),"")</f>
        <v>KORPUS</v>
      </c>
      <c r="E1884" s="12" t="str">
        <f>IFERROR(INDEX('10 Artikel'!$G:$G,MATCH($A1884,'10 Artikel'!$A:$A,0)),"")</f>
        <v>MITTELSEITE</v>
      </c>
      <c r="F1884" s="13" t="str">
        <f>IFERROR(INDEX('10 Artikel'!$H:$H,MATCH($A1884,'10 Artikel'!$A:$A,0)),"")</f>
        <v>R</v>
      </c>
      <c r="G1884" s="12" t="str">
        <f>IFERROR(INDEX('10 Artikel'!$I:$I,MATCH($A1884,'10 Artikel'!$A:$A,0)),"")</f>
        <v>MATRIX_AUF</v>
      </c>
      <c r="H1884" s="12" t="str">
        <f>IFERROR(INDEX('10 Artikel'!$J:$J,MATCH($A1884,'10 Artikel'!$A:$A,0)),"")</f>
        <v>Stück</v>
      </c>
      <c r="I1884" s="12" t="str">
        <f>IFERROR(INDEX('10 Artikel'!$K:$K,MATCH($A1884,'10 Artikel'!$A:$A,0)),"")</f>
        <v>BREITE</v>
      </c>
      <c r="J1884" s="11" t="s">
        <v>1386</v>
      </c>
      <c r="K1884" s="11" t="s">
        <v>1390</v>
      </c>
      <c r="L1884" s="11" t="s">
        <v>850</v>
      </c>
      <c r="O1884" s="14">
        <v>135</v>
      </c>
      <c r="P1884" s="8" t="s">
        <v>846</v>
      </c>
      <c r="Q1884" s="8">
        <v>26</v>
      </c>
    </row>
    <row r="1885" customFormat="false" ht="15" hidden="false" customHeight="false" outlineLevel="0" collapsed="false">
      <c r="A1885" s="11" t="s">
        <v>689</v>
      </c>
      <c r="B1885" s="12" t="str">
        <f>IFERROR(INDEX('10 Artikel'!$C:$C,MATCH($A1885,'10 Artikel'!$A:$A,0)),"")</f>
        <v>Mittelseite</v>
      </c>
      <c r="C1885" s="12" t="str">
        <f>IFERROR(INDEX('10 Artikel'!$E:$E,MATCH($A1885,'10 Artikel'!$A:$A,0)),"")</f>
        <v>STRUKTUR</v>
      </c>
      <c r="D1885" s="12" t="str">
        <f>IFERROR(INDEX('10 Artikel'!$F:$F,MATCH($A1885,'10 Artikel'!$A:$A,0)),"")</f>
        <v>KORPUS</v>
      </c>
      <c r="E1885" s="12" t="str">
        <f>IFERROR(INDEX('10 Artikel'!$G:$G,MATCH($A1885,'10 Artikel'!$A:$A,0)),"")</f>
        <v>MITTELSEITE</v>
      </c>
      <c r="F1885" s="13" t="str">
        <f>IFERROR(INDEX('10 Artikel'!$H:$H,MATCH($A1885,'10 Artikel'!$A:$A,0)),"")</f>
        <v>R</v>
      </c>
      <c r="G1885" s="12" t="str">
        <f>IFERROR(INDEX('10 Artikel'!$I:$I,MATCH($A1885,'10 Artikel'!$A:$A,0)),"")</f>
        <v>MATRIX_AUF</v>
      </c>
      <c r="H1885" s="12" t="str">
        <f>IFERROR(INDEX('10 Artikel'!$J:$J,MATCH($A1885,'10 Artikel'!$A:$A,0)),"")</f>
        <v>Stück</v>
      </c>
      <c r="I1885" s="12" t="str">
        <f>IFERROR(INDEX('10 Artikel'!$K:$K,MATCH($A1885,'10 Artikel'!$A:$A,0)),"")</f>
        <v>BREITE</v>
      </c>
      <c r="J1885" s="11" t="s">
        <v>1386</v>
      </c>
      <c r="K1885" s="11" t="s">
        <v>1390</v>
      </c>
      <c r="L1885" s="11" t="s">
        <v>851</v>
      </c>
      <c r="O1885" s="14">
        <v>159</v>
      </c>
      <c r="P1885" s="8" t="s">
        <v>846</v>
      </c>
      <c r="Q1885" s="8">
        <v>13</v>
      </c>
    </row>
    <row r="1886" customFormat="false" ht="15" hidden="false" customHeight="false" outlineLevel="0" collapsed="false">
      <c r="A1886" s="11" t="s">
        <v>689</v>
      </c>
      <c r="B1886" s="12" t="str">
        <f>IFERROR(INDEX('10 Artikel'!$C:$C,MATCH($A1886,'10 Artikel'!$A:$A,0)),"")</f>
        <v>Mittelseite</v>
      </c>
      <c r="C1886" s="12" t="str">
        <f>IFERROR(INDEX('10 Artikel'!$E:$E,MATCH($A1886,'10 Artikel'!$A:$A,0)),"")</f>
        <v>STRUKTUR</v>
      </c>
      <c r="D1886" s="12" t="str">
        <f>IFERROR(INDEX('10 Artikel'!$F:$F,MATCH($A1886,'10 Artikel'!$A:$A,0)),"")</f>
        <v>KORPUS</v>
      </c>
      <c r="E1886" s="12" t="str">
        <f>IFERROR(INDEX('10 Artikel'!$G:$G,MATCH($A1886,'10 Artikel'!$A:$A,0)),"")</f>
        <v>MITTELSEITE</v>
      </c>
      <c r="F1886" s="13" t="str">
        <f>IFERROR(INDEX('10 Artikel'!$H:$H,MATCH($A1886,'10 Artikel'!$A:$A,0)),"")</f>
        <v>R</v>
      </c>
      <c r="G1886" s="12" t="str">
        <f>IFERROR(INDEX('10 Artikel'!$I:$I,MATCH($A1886,'10 Artikel'!$A:$A,0)),"")</f>
        <v>MATRIX_AUF</v>
      </c>
      <c r="H1886" s="12" t="str">
        <f>IFERROR(INDEX('10 Artikel'!$J:$J,MATCH($A1886,'10 Artikel'!$A:$A,0)),"")</f>
        <v>Stück</v>
      </c>
      <c r="I1886" s="12" t="str">
        <f>IFERROR(INDEX('10 Artikel'!$K:$K,MATCH($A1886,'10 Artikel'!$A:$A,0)),"")</f>
        <v>BREITE</v>
      </c>
      <c r="J1886" s="11" t="s">
        <v>1386</v>
      </c>
      <c r="K1886" s="11" t="s">
        <v>1390</v>
      </c>
      <c r="L1886" s="11" t="s">
        <v>852</v>
      </c>
      <c r="O1886" s="14">
        <v>198</v>
      </c>
      <c r="P1886" s="8" t="s">
        <v>846</v>
      </c>
      <c r="Q1886" s="8">
        <v>13</v>
      </c>
    </row>
    <row r="1887" customFormat="false" ht="15" hidden="false" customHeight="false" outlineLevel="0" collapsed="false">
      <c r="A1887" s="11" t="s">
        <v>689</v>
      </c>
      <c r="B1887" s="12" t="str">
        <f>IFERROR(INDEX('10 Artikel'!$C:$C,MATCH($A1887,'10 Artikel'!$A:$A,0)),"")</f>
        <v>Mittelseite</v>
      </c>
      <c r="C1887" s="12" t="str">
        <f>IFERROR(INDEX('10 Artikel'!$E:$E,MATCH($A1887,'10 Artikel'!$A:$A,0)),"")</f>
        <v>STRUKTUR</v>
      </c>
      <c r="D1887" s="12" t="str">
        <f>IFERROR(INDEX('10 Artikel'!$F:$F,MATCH($A1887,'10 Artikel'!$A:$A,0)),"")</f>
        <v>KORPUS</v>
      </c>
      <c r="E1887" s="12" t="str">
        <f>IFERROR(INDEX('10 Artikel'!$G:$G,MATCH($A1887,'10 Artikel'!$A:$A,0)),"")</f>
        <v>MITTELSEITE</v>
      </c>
      <c r="F1887" s="13" t="str">
        <f>IFERROR(INDEX('10 Artikel'!$H:$H,MATCH($A1887,'10 Artikel'!$A:$A,0)),"")</f>
        <v>R</v>
      </c>
      <c r="G1887" s="12" t="str">
        <f>IFERROR(INDEX('10 Artikel'!$I:$I,MATCH($A1887,'10 Artikel'!$A:$A,0)),"")</f>
        <v>MATRIX_AUF</v>
      </c>
      <c r="H1887" s="12" t="str">
        <f>IFERROR(INDEX('10 Artikel'!$J:$J,MATCH($A1887,'10 Artikel'!$A:$A,0)),"")</f>
        <v>Stück</v>
      </c>
      <c r="I1887" s="12" t="str">
        <f>IFERROR(INDEX('10 Artikel'!$K:$K,MATCH($A1887,'10 Artikel'!$A:$A,0)),"")</f>
        <v>BREITE</v>
      </c>
      <c r="J1887" s="11" t="s">
        <v>1386</v>
      </c>
      <c r="K1887" s="11" t="s">
        <v>1390</v>
      </c>
      <c r="L1887" s="11" t="s">
        <v>853</v>
      </c>
      <c r="O1887" s="14">
        <v>248</v>
      </c>
      <c r="P1887" s="8" t="s">
        <v>846</v>
      </c>
      <c r="Q1887" s="8">
        <v>13</v>
      </c>
    </row>
    <row r="1888" customFormat="false" ht="15" hidden="false" customHeight="false" outlineLevel="0" collapsed="false">
      <c r="A1888" s="11" t="s">
        <v>689</v>
      </c>
      <c r="B1888" s="12" t="str">
        <f>IFERROR(INDEX('10 Artikel'!$C:$C,MATCH($A1888,'10 Artikel'!$A:$A,0)),"")</f>
        <v>Mittelseite</v>
      </c>
      <c r="C1888" s="12" t="str">
        <f>IFERROR(INDEX('10 Artikel'!$E:$E,MATCH($A1888,'10 Artikel'!$A:$A,0)),"")</f>
        <v>STRUKTUR</v>
      </c>
      <c r="D1888" s="12" t="str">
        <f>IFERROR(INDEX('10 Artikel'!$F:$F,MATCH($A1888,'10 Artikel'!$A:$A,0)),"")</f>
        <v>KORPUS</v>
      </c>
      <c r="E1888" s="12" t="str">
        <f>IFERROR(INDEX('10 Artikel'!$G:$G,MATCH($A1888,'10 Artikel'!$A:$A,0)),"")</f>
        <v>MITTELSEITE</v>
      </c>
      <c r="F1888" s="13" t="str">
        <f>IFERROR(INDEX('10 Artikel'!$H:$H,MATCH($A1888,'10 Artikel'!$A:$A,0)),"")</f>
        <v>R</v>
      </c>
      <c r="G1888" s="12" t="str">
        <f>IFERROR(INDEX('10 Artikel'!$I:$I,MATCH($A1888,'10 Artikel'!$A:$A,0)),"")</f>
        <v>MATRIX_AUF</v>
      </c>
      <c r="H1888" s="12" t="str">
        <f>IFERROR(INDEX('10 Artikel'!$J:$J,MATCH($A1888,'10 Artikel'!$A:$A,0)),"")</f>
        <v>Stück</v>
      </c>
      <c r="I1888" s="12" t="str">
        <f>IFERROR(INDEX('10 Artikel'!$K:$K,MATCH($A1888,'10 Artikel'!$A:$A,0)),"")</f>
        <v>BREITE</v>
      </c>
      <c r="J1888" s="11" t="s">
        <v>1386</v>
      </c>
      <c r="K1888" s="11" t="s">
        <v>1419</v>
      </c>
      <c r="L1888" s="11" t="s">
        <v>850</v>
      </c>
      <c r="O1888" s="14">
        <v>135</v>
      </c>
      <c r="P1888" s="8" t="s">
        <v>846</v>
      </c>
      <c r="Q1888" s="8">
        <v>26</v>
      </c>
    </row>
    <row r="1889" customFormat="false" ht="15" hidden="false" customHeight="false" outlineLevel="0" collapsed="false">
      <c r="A1889" s="11" t="s">
        <v>689</v>
      </c>
      <c r="B1889" s="12" t="str">
        <f>IFERROR(INDEX('10 Artikel'!$C:$C,MATCH($A1889,'10 Artikel'!$A:$A,0)),"")</f>
        <v>Mittelseite</v>
      </c>
      <c r="C1889" s="12" t="str">
        <f>IFERROR(INDEX('10 Artikel'!$E:$E,MATCH($A1889,'10 Artikel'!$A:$A,0)),"")</f>
        <v>STRUKTUR</v>
      </c>
      <c r="D1889" s="12" t="str">
        <f>IFERROR(INDEX('10 Artikel'!$F:$F,MATCH($A1889,'10 Artikel'!$A:$A,0)),"")</f>
        <v>KORPUS</v>
      </c>
      <c r="E1889" s="12" t="str">
        <f>IFERROR(INDEX('10 Artikel'!$G:$G,MATCH($A1889,'10 Artikel'!$A:$A,0)),"")</f>
        <v>MITTELSEITE</v>
      </c>
      <c r="F1889" s="13" t="str">
        <f>IFERROR(INDEX('10 Artikel'!$H:$H,MATCH($A1889,'10 Artikel'!$A:$A,0)),"")</f>
        <v>R</v>
      </c>
      <c r="G1889" s="12" t="str">
        <f>IFERROR(INDEX('10 Artikel'!$I:$I,MATCH($A1889,'10 Artikel'!$A:$A,0)),"")</f>
        <v>MATRIX_AUF</v>
      </c>
      <c r="H1889" s="12" t="str">
        <f>IFERROR(INDEX('10 Artikel'!$J:$J,MATCH($A1889,'10 Artikel'!$A:$A,0)),"")</f>
        <v>Stück</v>
      </c>
      <c r="I1889" s="12" t="str">
        <f>IFERROR(INDEX('10 Artikel'!$K:$K,MATCH($A1889,'10 Artikel'!$A:$A,0)),"")</f>
        <v>BREITE</v>
      </c>
      <c r="J1889" s="11" t="s">
        <v>1386</v>
      </c>
      <c r="K1889" s="11" t="s">
        <v>1419</v>
      </c>
      <c r="L1889" s="11" t="s">
        <v>851</v>
      </c>
      <c r="O1889" s="14">
        <v>182</v>
      </c>
      <c r="P1889" s="8" t="s">
        <v>846</v>
      </c>
      <c r="Q1889" s="8">
        <v>14</v>
      </c>
    </row>
    <row r="1890" customFormat="false" ht="15" hidden="false" customHeight="false" outlineLevel="0" collapsed="false">
      <c r="A1890" s="11" t="s">
        <v>689</v>
      </c>
      <c r="B1890" s="12" t="str">
        <f>IFERROR(INDEX('10 Artikel'!$C:$C,MATCH($A1890,'10 Artikel'!$A:$A,0)),"")</f>
        <v>Mittelseite</v>
      </c>
      <c r="C1890" s="12" t="str">
        <f>IFERROR(INDEX('10 Artikel'!$E:$E,MATCH($A1890,'10 Artikel'!$A:$A,0)),"")</f>
        <v>STRUKTUR</v>
      </c>
      <c r="D1890" s="12" t="str">
        <f>IFERROR(INDEX('10 Artikel'!$F:$F,MATCH($A1890,'10 Artikel'!$A:$A,0)),"")</f>
        <v>KORPUS</v>
      </c>
      <c r="E1890" s="12" t="str">
        <f>IFERROR(INDEX('10 Artikel'!$G:$G,MATCH($A1890,'10 Artikel'!$A:$A,0)),"")</f>
        <v>MITTELSEITE</v>
      </c>
      <c r="F1890" s="13" t="str">
        <f>IFERROR(INDEX('10 Artikel'!$H:$H,MATCH($A1890,'10 Artikel'!$A:$A,0)),"")</f>
        <v>R</v>
      </c>
      <c r="G1890" s="12" t="str">
        <f>IFERROR(INDEX('10 Artikel'!$I:$I,MATCH($A1890,'10 Artikel'!$A:$A,0)),"")</f>
        <v>MATRIX_AUF</v>
      </c>
      <c r="H1890" s="12" t="str">
        <f>IFERROR(INDEX('10 Artikel'!$J:$J,MATCH($A1890,'10 Artikel'!$A:$A,0)),"")</f>
        <v>Stück</v>
      </c>
      <c r="I1890" s="12" t="str">
        <f>IFERROR(INDEX('10 Artikel'!$K:$K,MATCH($A1890,'10 Artikel'!$A:$A,0)),"")</f>
        <v>BREITE</v>
      </c>
      <c r="J1890" s="11" t="s">
        <v>1386</v>
      </c>
      <c r="K1890" s="11" t="s">
        <v>1419</v>
      </c>
      <c r="L1890" s="11" t="s">
        <v>852</v>
      </c>
      <c r="O1890" s="14">
        <v>227</v>
      </c>
      <c r="P1890" s="8" t="s">
        <v>846</v>
      </c>
      <c r="Q1890" s="8">
        <v>14</v>
      </c>
    </row>
    <row r="1891" customFormat="false" ht="15" hidden="false" customHeight="false" outlineLevel="0" collapsed="false">
      <c r="A1891" s="11" t="s">
        <v>689</v>
      </c>
      <c r="B1891" s="12" t="str">
        <f>IFERROR(INDEX('10 Artikel'!$C:$C,MATCH($A1891,'10 Artikel'!$A:$A,0)),"")</f>
        <v>Mittelseite</v>
      </c>
      <c r="C1891" s="12" t="str">
        <f>IFERROR(INDEX('10 Artikel'!$E:$E,MATCH($A1891,'10 Artikel'!$A:$A,0)),"")</f>
        <v>STRUKTUR</v>
      </c>
      <c r="D1891" s="12" t="str">
        <f>IFERROR(INDEX('10 Artikel'!$F:$F,MATCH($A1891,'10 Artikel'!$A:$A,0)),"")</f>
        <v>KORPUS</v>
      </c>
      <c r="E1891" s="12" t="str">
        <f>IFERROR(INDEX('10 Artikel'!$G:$G,MATCH($A1891,'10 Artikel'!$A:$A,0)),"")</f>
        <v>MITTELSEITE</v>
      </c>
      <c r="F1891" s="13" t="str">
        <f>IFERROR(INDEX('10 Artikel'!$H:$H,MATCH($A1891,'10 Artikel'!$A:$A,0)),"")</f>
        <v>R</v>
      </c>
      <c r="G1891" s="12" t="str">
        <f>IFERROR(INDEX('10 Artikel'!$I:$I,MATCH($A1891,'10 Artikel'!$A:$A,0)),"")</f>
        <v>MATRIX_AUF</v>
      </c>
      <c r="H1891" s="12" t="str">
        <f>IFERROR(INDEX('10 Artikel'!$J:$J,MATCH($A1891,'10 Artikel'!$A:$A,0)),"")</f>
        <v>Stück</v>
      </c>
      <c r="I1891" s="12" t="str">
        <f>IFERROR(INDEX('10 Artikel'!$K:$K,MATCH($A1891,'10 Artikel'!$A:$A,0)),"")</f>
        <v>BREITE</v>
      </c>
      <c r="J1891" s="11" t="s">
        <v>1386</v>
      </c>
      <c r="K1891" s="11" t="s">
        <v>1419</v>
      </c>
      <c r="L1891" s="11" t="s">
        <v>853</v>
      </c>
      <c r="O1891" s="14">
        <v>284</v>
      </c>
      <c r="P1891" s="8" t="s">
        <v>846</v>
      </c>
      <c r="Q1891" s="8">
        <v>14</v>
      </c>
    </row>
    <row r="1892" customFormat="false" ht="15" hidden="false" customHeight="false" outlineLevel="0" collapsed="false">
      <c r="A1892" s="11" t="s">
        <v>689</v>
      </c>
      <c r="B1892" s="12" t="str">
        <f>IFERROR(INDEX('10 Artikel'!$C:$C,MATCH($A1892,'10 Artikel'!$A:$A,0)),"")</f>
        <v>Mittelseite</v>
      </c>
      <c r="C1892" s="12" t="str">
        <f>IFERROR(INDEX('10 Artikel'!$E:$E,MATCH($A1892,'10 Artikel'!$A:$A,0)),"")</f>
        <v>STRUKTUR</v>
      </c>
      <c r="D1892" s="12" t="str">
        <f>IFERROR(INDEX('10 Artikel'!$F:$F,MATCH($A1892,'10 Artikel'!$A:$A,0)),"")</f>
        <v>KORPUS</v>
      </c>
      <c r="E1892" s="12" t="str">
        <f>IFERROR(INDEX('10 Artikel'!$G:$G,MATCH($A1892,'10 Artikel'!$A:$A,0)),"")</f>
        <v>MITTELSEITE</v>
      </c>
      <c r="F1892" s="13" t="str">
        <f>IFERROR(INDEX('10 Artikel'!$H:$H,MATCH($A1892,'10 Artikel'!$A:$A,0)),"")</f>
        <v>R</v>
      </c>
      <c r="G1892" s="12" t="str">
        <f>IFERROR(INDEX('10 Artikel'!$I:$I,MATCH($A1892,'10 Artikel'!$A:$A,0)),"")</f>
        <v>MATRIX_AUF</v>
      </c>
      <c r="H1892" s="12" t="str">
        <f>IFERROR(INDEX('10 Artikel'!$J:$J,MATCH($A1892,'10 Artikel'!$A:$A,0)),"")</f>
        <v>Stück</v>
      </c>
      <c r="I1892" s="12" t="str">
        <f>IFERROR(INDEX('10 Artikel'!$K:$K,MATCH($A1892,'10 Artikel'!$A:$A,0)),"")</f>
        <v>BREITE</v>
      </c>
      <c r="J1892" s="11" t="s">
        <v>1386</v>
      </c>
      <c r="K1892" s="11" t="s">
        <v>1357</v>
      </c>
      <c r="L1892" s="11" t="s">
        <v>851</v>
      </c>
      <c r="O1892" s="14">
        <v>227</v>
      </c>
      <c r="P1892" s="8" t="s">
        <v>846</v>
      </c>
      <c r="Q1892" s="8">
        <v>15</v>
      </c>
    </row>
    <row r="1893" customFormat="false" ht="15" hidden="false" customHeight="false" outlineLevel="0" collapsed="false">
      <c r="A1893" s="11" t="s">
        <v>689</v>
      </c>
      <c r="B1893" s="12" t="str">
        <f>IFERROR(INDEX('10 Artikel'!$C:$C,MATCH($A1893,'10 Artikel'!$A:$A,0)),"")</f>
        <v>Mittelseite</v>
      </c>
      <c r="C1893" s="12" t="str">
        <f>IFERROR(INDEX('10 Artikel'!$E:$E,MATCH($A1893,'10 Artikel'!$A:$A,0)),"")</f>
        <v>STRUKTUR</v>
      </c>
      <c r="D1893" s="12" t="str">
        <f>IFERROR(INDEX('10 Artikel'!$F:$F,MATCH($A1893,'10 Artikel'!$A:$A,0)),"")</f>
        <v>KORPUS</v>
      </c>
      <c r="E1893" s="12" t="str">
        <f>IFERROR(INDEX('10 Artikel'!$G:$G,MATCH($A1893,'10 Artikel'!$A:$A,0)),"")</f>
        <v>MITTELSEITE</v>
      </c>
      <c r="F1893" s="13" t="str">
        <f>IFERROR(INDEX('10 Artikel'!$H:$H,MATCH($A1893,'10 Artikel'!$A:$A,0)),"")</f>
        <v>R</v>
      </c>
      <c r="G1893" s="12" t="str">
        <f>IFERROR(INDEX('10 Artikel'!$I:$I,MATCH($A1893,'10 Artikel'!$A:$A,0)),"")</f>
        <v>MATRIX_AUF</v>
      </c>
      <c r="H1893" s="12" t="str">
        <f>IFERROR(INDEX('10 Artikel'!$J:$J,MATCH($A1893,'10 Artikel'!$A:$A,0)),"")</f>
        <v>Stück</v>
      </c>
      <c r="I1893" s="12" t="str">
        <f>IFERROR(INDEX('10 Artikel'!$K:$K,MATCH($A1893,'10 Artikel'!$A:$A,0)),"")</f>
        <v>BREITE</v>
      </c>
      <c r="J1893" s="11" t="s">
        <v>1386</v>
      </c>
      <c r="K1893" s="11" t="s">
        <v>1357</v>
      </c>
      <c r="L1893" s="11" t="s">
        <v>852</v>
      </c>
      <c r="O1893" s="14">
        <v>284</v>
      </c>
      <c r="P1893" s="8" t="s">
        <v>846</v>
      </c>
      <c r="Q1893" s="8">
        <v>15</v>
      </c>
    </row>
    <row r="1894" customFormat="false" ht="15" hidden="false" customHeight="false" outlineLevel="0" collapsed="false">
      <c r="A1894" s="11" t="s">
        <v>689</v>
      </c>
      <c r="B1894" s="12" t="str">
        <f>IFERROR(INDEX('10 Artikel'!$C:$C,MATCH($A1894,'10 Artikel'!$A:$A,0)),"")</f>
        <v>Mittelseite</v>
      </c>
      <c r="C1894" s="12" t="str">
        <f>IFERROR(INDEX('10 Artikel'!$E:$E,MATCH($A1894,'10 Artikel'!$A:$A,0)),"")</f>
        <v>STRUKTUR</v>
      </c>
      <c r="D1894" s="12" t="str">
        <f>IFERROR(INDEX('10 Artikel'!$F:$F,MATCH($A1894,'10 Artikel'!$A:$A,0)),"")</f>
        <v>KORPUS</v>
      </c>
      <c r="E1894" s="12" t="str">
        <f>IFERROR(INDEX('10 Artikel'!$G:$G,MATCH($A1894,'10 Artikel'!$A:$A,0)),"")</f>
        <v>MITTELSEITE</v>
      </c>
      <c r="F1894" s="13" t="str">
        <f>IFERROR(INDEX('10 Artikel'!$H:$H,MATCH($A1894,'10 Artikel'!$A:$A,0)),"")</f>
        <v>R</v>
      </c>
      <c r="G1894" s="12" t="str">
        <f>IFERROR(INDEX('10 Artikel'!$I:$I,MATCH($A1894,'10 Artikel'!$A:$A,0)),"")</f>
        <v>MATRIX_AUF</v>
      </c>
      <c r="H1894" s="12" t="str">
        <f>IFERROR(INDEX('10 Artikel'!$J:$J,MATCH($A1894,'10 Artikel'!$A:$A,0)),"")</f>
        <v>Stück</v>
      </c>
      <c r="I1894" s="12" t="str">
        <f>IFERROR(INDEX('10 Artikel'!$K:$K,MATCH($A1894,'10 Artikel'!$A:$A,0)),"")</f>
        <v>BREITE</v>
      </c>
      <c r="J1894" s="11" t="s">
        <v>1386</v>
      </c>
      <c r="K1894" s="11" t="s">
        <v>1357</v>
      </c>
      <c r="L1894" s="11" t="s">
        <v>853</v>
      </c>
      <c r="O1894" s="14">
        <v>354</v>
      </c>
      <c r="P1894" s="8" t="s">
        <v>846</v>
      </c>
      <c r="Q1894" s="8">
        <v>15</v>
      </c>
    </row>
    <row r="1895" customFormat="false" ht="15" hidden="false" customHeight="false" outlineLevel="0" collapsed="false">
      <c r="A1895" s="11" t="s">
        <v>689</v>
      </c>
      <c r="B1895" s="12" t="str">
        <f>IFERROR(INDEX('10 Artikel'!$C:$C,MATCH($A1895,'10 Artikel'!$A:$A,0)),"")</f>
        <v>Mittelseite</v>
      </c>
      <c r="C1895" s="12" t="str">
        <f>IFERROR(INDEX('10 Artikel'!$E:$E,MATCH($A1895,'10 Artikel'!$A:$A,0)),"")</f>
        <v>STRUKTUR</v>
      </c>
      <c r="D1895" s="12" t="str">
        <f>IFERROR(INDEX('10 Artikel'!$F:$F,MATCH($A1895,'10 Artikel'!$A:$A,0)),"")</f>
        <v>KORPUS</v>
      </c>
      <c r="E1895" s="12" t="str">
        <f>IFERROR(INDEX('10 Artikel'!$G:$G,MATCH($A1895,'10 Artikel'!$A:$A,0)),"")</f>
        <v>MITTELSEITE</v>
      </c>
      <c r="F1895" s="13" t="str">
        <f>IFERROR(INDEX('10 Artikel'!$H:$H,MATCH($A1895,'10 Artikel'!$A:$A,0)),"")</f>
        <v>R</v>
      </c>
      <c r="G1895" s="12" t="str">
        <f>IFERROR(INDEX('10 Artikel'!$I:$I,MATCH($A1895,'10 Artikel'!$A:$A,0)),"")</f>
        <v>MATRIX_AUF</v>
      </c>
      <c r="H1895" s="12" t="str">
        <f>IFERROR(INDEX('10 Artikel'!$J:$J,MATCH($A1895,'10 Artikel'!$A:$A,0)),"")</f>
        <v>Stück</v>
      </c>
      <c r="I1895" s="12" t="str">
        <f>IFERROR(INDEX('10 Artikel'!$K:$K,MATCH($A1895,'10 Artikel'!$A:$A,0)),"")</f>
        <v>BREITE</v>
      </c>
      <c r="J1895" s="11" t="s">
        <v>1410</v>
      </c>
      <c r="K1895" s="11" t="s">
        <v>1390</v>
      </c>
      <c r="L1895" s="11" t="s">
        <v>850</v>
      </c>
      <c r="O1895" s="14">
        <v>165</v>
      </c>
      <c r="P1895" s="8" t="s">
        <v>846</v>
      </c>
      <c r="Q1895" s="8">
        <v>26</v>
      </c>
    </row>
    <row r="1896" customFormat="false" ht="15" hidden="false" customHeight="false" outlineLevel="0" collapsed="false">
      <c r="A1896" s="11" t="s">
        <v>689</v>
      </c>
      <c r="B1896" s="12" t="str">
        <f>IFERROR(INDEX('10 Artikel'!$C:$C,MATCH($A1896,'10 Artikel'!$A:$A,0)),"")</f>
        <v>Mittelseite</v>
      </c>
      <c r="C1896" s="12" t="str">
        <f>IFERROR(INDEX('10 Artikel'!$E:$E,MATCH($A1896,'10 Artikel'!$A:$A,0)),"")</f>
        <v>STRUKTUR</v>
      </c>
      <c r="D1896" s="12" t="str">
        <f>IFERROR(INDEX('10 Artikel'!$F:$F,MATCH($A1896,'10 Artikel'!$A:$A,0)),"")</f>
        <v>KORPUS</v>
      </c>
      <c r="E1896" s="12" t="str">
        <f>IFERROR(INDEX('10 Artikel'!$G:$G,MATCH($A1896,'10 Artikel'!$A:$A,0)),"")</f>
        <v>MITTELSEITE</v>
      </c>
      <c r="F1896" s="13" t="str">
        <f>IFERROR(INDEX('10 Artikel'!$H:$H,MATCH($A1896,'10 Artikel'!$A:$A,0)),"")</f>
        <v>R</v>
      </c>
      <c r="G1896" s="12" t="str">
        <f>IFERROR(INDEX('10 Artikel'!$I:$I,MATCH($A1896,'10 Artikel'!$A:$A,0)),"")</f>
        <v>MATRIX_AUF</v>
      </c>
      <c r="H1896" s="12" t="str">
        <f>IFERROR(INDEX('10 Artikel'!$J:$J,MATCH($A1896,'10 Artikel'!$A:$A,0)),"")</f>
        <v>Stück</v>
      </c>
      <c r="I1896" s="12" t="str">
        <f>IFERROR(INDEX('10 Artikel'!$K:$K,MATCH($A1896,'10 Artikel'!$A:$A,0)),"")</f>
        <v>BREITE</v>
      </c>
      <c r="J1896" s="11" t="s">
        <v>1410</v>
      </c>
      <c r="K1896" s="11" t="s">
        <v>1390</v>
      </c>
      <c r="L1896" s="11" t="s">
        <v>851</v>
      </c>
      <c r="O1896" s="14">
        <v>190.8</v>
      </c>
      <c r="P1896" s="8" t="s">
        <v>846</v>
      </c>
      <c r="Q1896" s="8">
        <v>13</v>
      </c>
    </row>
    <row r="1897" customFormat="false" ht="15" hidden="false" customHeight="false" outlineLevel="0" collapsed="false">
      <c r="A1897" s="11" t="s">
        <v>689</v>
      </c>
      <c r="B1897" s="12" t="str">
        <f>IFERROR(INDEX('10 Artikel'!$C:$C,MATCH($A1897,'10 Artikel'!$A:$A,0)),"")</f>
        <v>Mittelseite</v>
      </c>
      <c r="C1897" s="12" t="str">
        <f>IFERROR(INDEX('10 Artikel'!$E:$E,MATCH($A1897,'10 Artikel'!$A:$A,0)),"")</f>
        <v>STRUKTUR</v>
      </c>
      <c r="D1897" s="12" t="str">
        <f>IFERROR(INDEX('10 Artikel'!$F:$F,MATCH($A1897,'10 Artikel'!$A:$A,0)),"")</f>
        <v>KORPUS</v>
      </c>
      <c r="E1897" s="12" t="str">
        <f>IFERROR(INDEX('10 Artikel'!$G:$G,MATCH($A1897,'10 Artikel'!$A:$A,0)),"")</f>
        <v>MITTELSEITE</v>
      </c>
      <c r="F1897" s="13" t="str">
        <f>IFERROR(INDEX('10 Artikel'!$H:$H,MATCH($A1897,'10 Artikel'!$A:$A,0)),"")</f>
        <v>R</v>
      </c>
      <c r="G1897" s="12" t="str">
        <f>IFERROR(INDEX('10 Artikel'!$I:$I,MATCH($A1897,'10 Artikel'!$A:$A,0)),"")</f>
        <v>MATRIX_AUF</v>
      </c>
      <c r="H1897" s="12" t="str">
        <f>IFERROR(INDEX('10 Artikel'!$J:$J,MATCH($A1897,'10 Artikel'!$A:$A,0)),"")</f>
        <v>Stück</v>
      </c>
      <c r="I1897" s="12" t="str">
        <f>IFERROR(INDEX('10 Artikel'!$K:$K,MATCH($A1897,'10 Artikel'!$A:$A,0)),"")</f>
        <v>BREITE</v>
      </c>
      <c r="J1897" s="11" t="s">
        <v>1410</v>
      </c>
      <c r="K1897" s="11" t="s">
        <v>1390</v>
      </c>
      <c r="L1897" s="11" t="s">
        <v>852</v>
      </c>
      <c r="O1897" s="14">
        <v>237.6</v>
      </c>
      <c r="P1897" s="8" t="s">
        <v>846</v>
      </c>
      <c r="Q1897" s="8">
        <v>13</v>
      </c>
    </row>
    <row r="1898" customFormat="false" ht="15" hidden="false" customHeight="false" outlineLevel="0" collapsed="false">
      <c r="A1898" s="11" t="s">
        <v>689</v>
      </c>
      <c r="B1898" s="12" t="str">
        <f>IFERROR(INDEX('10 Artikel'!$C:$C,MATCH($A1898,'10 Artikel'!$A:$A,0)),"")</f>
        <v>Mittelseite</v>
      </c>
      <c r="C1898" s="12" t="str">
        <f>IFERROR(INDEX('10 Artikel'!$E:$E,MATCH($A1898,'10 Artikel'!$A:$A,0)),"")</f>
        <v>STRUKTUR</v>
      </c>
      <c r="D1898" s="12" t="str">
        <f>IFERROR(INDEX('10 Artikel'!$F:$F,MATCH($A1898,'10 Artikel'!$A:$A,0)),"")</f>
        <v>KORPUS</v>
      </c>
      <c r="E1898" s="12" t="str">
        <f>IFERROR(INDEX('10 Artikel'!$G:$G,MATCH($A1898,'10 Artikel'!$A:$A,0)),"")</f>
        <v>MITTELSEITE</v>
      </c>
      <c r="F1898" s="13" t="str">
        <f>IFERROR(INDEX('10 Artikel'!$H:$H,MATCH($A1898,'10 Artikel'!$A:$A,0)),"")</f>
        <v>R</v>
      </c>
      <c r="G1898" s="12" t="str">
        <f>IFERROR(INDEX('10 Artikel'!$I:$I,MATCH($A1898,'10 Artikel'!$A:$A,0)),"")</f>
        <v>MATRIX_AUF</v>
      </c>
      <c r="H1898" s="12" t="str">
        <f>IFERROR(INDEX('10 Artikel'!$J:$J,MATCH($A1898,'10 Artikel'!$A:$A,0)),"")</f>
        <v>Stück</v>
      </c>
      <c r="I1898" s="12" t="str">
        <f>IFERROR(INDEX('10 Artikel'!$K:$K,MATCH($A1898,'10 Artikel'!$A:$A,0)),"")</f>
        <v>BREITE</v>
      </c>
      <c r="J1898" s="11" t="s">
        <v>1410</v>
      </c>
      <c r="K1898" s="11" t="s">
        <v>1390</v>
      </c>
      <c r="L1898" s="11" t="s">
        <v>853</v>
      </c>
      <c r="O1898" s="14">
        <v>297.6</v>
      </c>
      <c r="P1898" s="8" t="s">
        <v>846</v>
      </c>
      <c r="Q1898" s="8">
        <v>13</v>
      </c>
    </row>
    <row r="1899" customFormat="false" ht="15" hidden="false" customHeight="false" outlineLevel="0" collapsed="false">
      <c r="A1899" s="11" t="s">
        <v>689</v>
      </c>
      <c r="B1899" s="12" t="str">
        <f>IFERROR(INDEX('10 Artikel'!$C:$C,MATCH($A1899,'10 Artikel'!$A:$A,0)),"")</f>
        <v>Mittelseite</v>
      </c>
      <c r="C1899" s="12" t="str">
        <f>IFERROR(INDEX('10 Artikel'!$E:$E,MATCH($A1899,'10 Artikel'!$A:$A,0)),"")</f>
        <v>STRUKTUR</v>
      </c>
      <c r="D1899" s="12" t="str">
        <f>IFERROR(INDEX('10 Artikel'!$F:$F,MATCH($A1899,'10 Artikel'!$A:$A,0)),"")</f>
        <v>KORPUS</v>
      </c>
      <c r="E1899" s="12" t="str">
        <f>IFERROR(INDEX('10 Artikel'!$G:$G,MATCH($A1899,'10 Artikel'!$A:$A,0)),"")</f>
        <v>MITTELSEITE</v>
      </c>
      <c r="F1899" s="13" t="str">
        <f>IFERROR(INDEX('10 Artikel'!$H:$H,MATCH($A1899,'10 Artikel'!$A:$A,0)),"")</f>
        <v>R</v>
      </c>
      <c r="G1899" s="12" t="str">
        <f>IFERROR(INDEX('10 Artikel'!$I:$I,MATCH($A1899,'10 Artikel'!$A:$A,0)),"")</f>
        <v>MATRIX_AUF</v>
      </c>
      <c r="H1899" s="12" t="str">
        <f>IFERROR(INDEX('10 Artikel'!$J:$J,MATCH($A1899,'10 Artikel'!$A:$A,0)),"")</f>
        <v>Stück</v>
      </c>
      <c r="I1899" s="12" t="str">
        <f>IFERROR(INDEX('10 Artikel'!$K:$K,MATCH($A1899,'10 Artikel'!$A:$A,0)),"")</f>
        <v>BREITE</v>
      </c>
      <c r="J1899" s="11" t="s">
        <v>1410</v>
      </c>
      <c r="K1899" s="11" t="s">
        <v>1419</v>
      </c>
      <c r="L1899" s="11" t="s">
        <v>850</v>
      </c>
      <c r="O1899" s="14">
        <v>165</v>
      </c>
      <c r="P1899" s="8" t="s">
        <v>846</v>
      </c>
      <c r="Q1899" s="8">
        <v>26</v>
      </c>
    </row>
    <row r="1900" customFormat="false" ht="15" hidden="false" customHeight="false" outlineLevel="0" collapsed="false">
      <c r="A1900" s="11" t="s">
        <v>689</v>
      </c>
      <c r="B1900" s="12" t="str">
        <f>IFERROR(INDEX('10 Artikel'!$C:$C,MATCH($A1900,'10 Artikel'!$A:$A,0)),"")</f>
        <v>Mittelseite</v>
      </c>
      <c r="C1900" s="12" t="str">
        <f>IFERROR(INDEX('10 Artikel'!$E:$E,MATCH($A1900,'10 Artikel'!$A:$A,0)),"")</f>
        <v>STRUKTUR</v>
      </c>
      <c r="D1900" s="12" t="str">
        <f>IFERROR(INDEX('10 Artikel'!$F:$F,MATCH($A1900,'10 Artikel'!$A:$A,0)),"")</f>
        <v>KORPUS</v>
      </c>
      <c r="E1900" s="12" t="str">
        <f>IFERROR(INDEX('10 Artikel'!$G:$G,MATCH($A1900,'10 Artikel'!$A:$A,0)),"")</f>
        <v>MITTELSEITE</v>
      </c>
      <c r="F1900" s="13" t="str">
        <f>IFERROR(INDEX('10 Artikel'!$H:$H,MATCH($A1900,'10 Artikel'!$A:$A,0)),"")</f>
        <v>R</v>
      </c>
      <c r="G1900" s="12" t="str">
        <f>IFERROR(INDEX('10 Artikel'!$I:$I,MATCH($A1900,'10 Artikel'!$A:$A,0)),"")</f>
        <v>MATRIX_AUF</v>
      </c>
      <c r="H1900" s="12" t="str">
        <f>IFERROR(INDEX('10 Artikel'!$J:$J,MATCH($A1900,'10 Artikel'!$A:$A,0)),"")</f>
        <v>Stück</v>
      </c>
      <c r="I1900" s="12" t="str">
        <f>IFERROR(INDEX('10 Artikel'!$K:$K,MATCH($A1900,'10 Artikel'!$A:$A,0)),"")</f>
        <v>BREITE</v>
      </c>
      <c r="J1900" s="11" t="s">
        <v>1410</v>
      </c>
      <c r="K1900" s="11" t="s">
        <v>1419</v>
      </c>
      <c r="L1900" s="11" t="s">
        <v>851</v>
      </c>
      <c r="O1900" s="14">
        <v>218.4</v>
      </c>
      <c r="P1900" s="8" t="s">
        <v>846</v>
      </c>
      <c r="Q1900" s="8">
        <v>14</v>
      </c>
    </row>
    <row r="1901" customFormat="false" ht="15" hidden="false" customHeight="false" outlineLevel="0" collapsed="false">
      <c r="A1901" s="11" t="s">
        <v>689</v>
      </c>
      <c r="B1901" s="12" t="str">
        <f>IFERROR(INDEX('10 Artikel'!$C:$C,MATCH($A1901,'10 Artikel'!$A:$A,0)),"")</f>
        <v>Mittelseite</v>
      </c>
      <c r="C1901" s="12" t="str">
        <f>IFERROR(INDEX('10 Artikel'!$E:$E,MATCH($A1901,'10 Artikel'!$A:$A,0)),"")</f>
        <v>STRUKTUR</v>
      </c>
      <c r="D1901" s="12" t="str">
        <f>IFERROR(INDEX('10 Artikel'!$F:$F,MATCH($A1901,'10 Artikel'!$A:$A,0)),"")</f>
        <v>KORPUS</v>
      </c>
      <c r="E1901" s="12" t="str">
        <f>IFERROR(INDEX('10 Artikel'!$G:$G,MATCH($A1901,'10 Artikel'!$A:$A,0)),"")</f>
        <v>MITTELSEITE</v>
      </c>
      <c r="F1901" s="13" t="str">
        <f>IFERROR(INDEX('10 Artikel'!$H:$H,MATCH($A1901,'10 Artikel'!$A:$A,0)),"")</f>
        <v>R</v>
      </c>
      <c r="G1901" s="12" t="str">
        <f>IFERROR(INDEX('10 Artikel'!$I:$I,MATCH($A1901,'10 Artikel'!$A:$A,0)),"")</f>
        <v>MATRIX_AUF</v>
      </c>
      <c r="H1901" s="12" t="str">
        <f>IFERROR(INDEX('10 Artikel'!$J:$J,MATCH($A1901,'10 Artikel'!$A:$A,0)),"")</f>
        <v>Stück</v>
      </c>
      <c r="I1901" s="12" t="str">
        <f>IFERROR(INDEX('10 Artikel'!$K:$K,MATCH($A1901,'10 Artikel'!$A:$A,0)),"")</f>
        <v>BREITE</v>
      </c>
      <c r="J1901" s="11" t="s">
        <v>1410</v>
      </c>
      <c r="K1901" s="11" t="s">
        <v>1419</v>
      </c>
      <c r="L1901" s="11" t="s">
        <v>852</v>
      </c>
      <c r="O1901" s="14">
        <v>272.4</v>
      </c>
      <c r="P1901" s="8" t="s">
        <v>846</v>
      </c>
      <c r="Q1901" s="8">
        <v>14</v>
      </c>
    </row>
    <row r="1902" customFormat="false" ht="15" hidden="false" customHeight="false" outlineLevel="0" collapsed="false">
      <c r="A1902" s="11" t="s">
        <v>689</v>
      </c>
      <c r="B1902" s="12" t="str">
        <f>IFERROR(INDEX('10 Artikel'!$C:$C,MATCH($A1902,'10 Artikel'!$A:$A,0)),"")</f>
        <v>Mittelseite</v>
      </c>
      <c r="C1902" s="12" t="str">
        <f>IFERROR(INDEX('10 Artikel'!$E:$E,MATCH($A1902,'10 Artikel'!$A:$A,0)),"")</f>
        <v>STRUKTUR</v>
      </c>
      <c r="D1902" s="12" t="str">
        <f>IFERROR(INDEX('10 Artikel'!$F:$F,MATCH($A1902,'10 Artikel'!$A:$A,0)),"")</f>
        <v>KORPUS</v>
      </c>
      <c r="E1902" s="12" t="str">
        <f>IFERROR(INDEX('10 Artikel'!$G:$G,MATCH($A1902,'10 Artikel'!$A:$A,0)),"")</f>
        <v>MITTELSEITE</v>
      </c>
      <c r="F1902" s="13" t="str">
        <f>IFERROR(INDEX('10 Artikel'!$H:$H,MATCH($A1902,'10 Artikel'!$A:$A,0)),"")</f>
        <v>R</v>
      </c>
      <c r="G1902" s="12" t="str">
        <f>IFERROR(INDEX('10 Artikel'!$I:$I,MATCH($A1902,'10 Artikel'!$A:$A,0)),"")</f>
        <v>MATRIX_AUF</v>
      </c>
      <c r="H1902" s="12" t="str">
        <f>IFERROR(INDEX('10 Artikel'!$J:$J,MATCH($A1902,'10 Artikel'!$A:$A,0)),"")</f>
        <v>Stück</v>
      </c>
      <c r="I1902" s="12" t="str">
        <f>IFERROR(INDEX('10 Artikel'!$K:$K,MATCH($A1902,'10 Artikel'!$A:$A,0)),"")</f>
        <v>BREITE</v>
      </c>
      <c r="J1902" s="11" t="s">
        <v>1410</v>
      </c>
      <c r="K1902" s="11" t="s">
        <v>1419</v>
      </c>
      <c r="L1902" s="11" t="s">
        <v>853</v>
      </c>
      <c r="O1902" s="14">
        <v>340.8</v>
      </c>
      <c r="P1902" s="8" t="s">
        <v>846</v>
      </c>
      <c r="Q1902" s="8">
        <v>14</v>
      </c>
    </row>
    <row r="1903" customFormat="false" ht="15" hidden="false" customHeight="false" outlineLevel="0" collapsed="false">
      <c r="A1903" s="11" t="s">
        <v>689</v>
      </c>
      <c r="B1903" s="12" t="str">
        <f>IFERROR(INDEX('10 Artikel'!$C:$C,MATCH($A1903,'10 Artikel'!$A:$A,0)),"")</f>
        <v>Mittelseite</v>
      </c>
      <c r="C1903" s="12" t="str">
        <f>IFERROR(INDEX('10 Artikel'!$E:$E,MATCH($A1903,'10 Artikel'!$A:$A,0)),"")</f>
        <v>STRUKTUR</v>
      </c>
      <c r="D1903" s="12" t="str">
        <f>IFERROR(INDEX('10 Artikel'!$F:$F,MATCH($A1903,'10 Artikel'!$A:$A,0)),"")</f>
        <v>KORPUS</v>
      </c>
      <c r="E1903" s="12" t="str">
        <f>IFERROR(INDEX('10 Artikel'!$G:$G,MATCH($A1903,'10 Artikel'!$A:$A,0)),"")</f>
        <v>MITTELSEITE</v>
      </c>
      <c r="F1903" s="13" t="str">
        <f>IFERROR(INDEX('10 Artikel'!$H:$H,MATCH($A1903,'10 Artikel'!$A:$A,0)),"")</f>
        <v>R</v>
      </c>
      <c r="G1903" s="12" t="str">
        <f>IFERROR(INDEX('10 Artikel'!$I:$I,MATCH($A1903,'10 Artikel'!$A:$A,0)),"")</f>
        <v>MATRIX_AUF</v>
      </c>
      <c r="H1903" s="12" t="str">
        <f>IFERROR(INDEX('10 Artikel'!$J:$J,MATCH($A1903,'10 Artikel'!$A:$A,0)),"")</f>
        <v>Stück</v>
      </c>
      <c r="I1903" s="12" t="str">
        <f>IFERROR(INDEX('10 Artikel'!$K:$K,MATCH($A1903,'10 Artikel'!$A:$A,0)),"")</f>
        <v>BREITE</v>
      </c>
      <c r="J1903" s="11" t="s">
        <v>1410</v>
      </c>
      <c r="K1903" s="11" t="s">
        <v>1357</v>
      </c>
      <c r="L1903" s="11" t="s">
        <v>851</v>
      </c>
      <c r="O1903" s="14">
        <v>272.4</v>
      </c>
      <c r="P1903" s="8" t="s">
        <v>846</v>
      </c>
      <c r="Q1903" s="8">
        <v>15</v>
      </c>
    </row>
    <row r="1904" customFormat="false" ht="15" hidden="false" customHeight="false" outlineLevel="0" collapsed="false">
      <c r="A1904" s="11" t="s">
        <v>689</v>
      </c>
      <c r="B1904" s="12" t="str">
        <f>IFERROR(INDEX('10 Artikel'!$C:$C,MATCH($A1904,'10 Artikel'!$A:$A,0)),"")</f>
        <v>Mittelseite</v>
      </c>
      <c r="C1904" s="12" t="str">
        <f>IFERROR(INDEX('10 Artikel'!$E:$E,MATCH($A1904,'10 Artikel'!$A:$A,0)),"")</f>
        <v>STRUKTUR</v>
      </c>
      <c r="D1904" s="12" t="str">
        <f>IFERROR(INDEX('10 Artikel'!$F:$F,MATCH($A1904,'10 Artikel'!$A:$A,0)),"")</f>
        <v>KORPUS</v>
      </c>
      <c r="E1904" s="12" t="str">
        <f>IFERROR(INDEX('10 Artikel'!$G:$G,MATCH($A1904,'10 Artikel'!$A:$A,0)),"")</f>
        <v>MITTELSEITE</v>
      </c>
      <c r="F1904" s="13" t="str">
        <f>IFERROR(INDEX('10 Artikel'!$H:$H,MATCH($A1904,'10 Artikel'!$A:$A,0)),"")</f>
        <v>R</v>
      </c>
      <c r="G1904" s="12" t="str">
        <f>IFERROR(INDEX('10 Artikel'!$I:$I,MATCH($A1904,'10 Artikel'!$A:$A,0)),"")</f>
        <v>MATRIX_AUF</v>
      </c>
      <c r="H1904" s="12" t="str">
        <f>IFERROR(INDEX('10 Artikel'!$J:$J,MATCH($A1904,'10 Artikel'!$A:$A,0)),"")</f>
        <v>Stück</v>
      </c>
      <c r="I1904" s="12" t="str">
        <f>IFERROR(INDEX('10 Artikel'!$K:$K,MATCH($A1904,'10 Artikel'!$A:$A,0)),"")</f>
        <v>BREITE</v>
      </c>
      <c r="J1904" s="11" t="s">
        <v>1410</v>
      </c>
      <c r="K1904" s="11" t="s">
        <v>1357</v>
      </c>
      <c r="L1904" s="11" t="s">
        <v>852</v>
      </c>
      <c r="O1904" s="14">
        <v>340.8</v>
      </c>
      <c r="P1904" s="8" t="s">
        <v>846</v>
      </c>
      <c r="Q1904" s="8">
        <v>15</v>
      </c>
    </row>
    <row r="1905" customFormat="false" ht="15" hidden="false" customHeight="false" outlineLevel="0" collapsed="false">
      <c r="A1905" s="11" t="s">
        <v>689</v>
      </c>
      <c r="B1905" s="12" t="str">
        <f>IFERROR(INDEX('10 Artikel'!$C:$C,MATCH($A1905,'10 Artikel'!$A:$A,0)),"")</f>
        <v>Mittelseite</v>
      </c>
      <c r="C1905" s="12" t="str">
        <f>IFERROR(INDEX('10 Artikel'!$E:$E,MATCH($A1905,'10 Artikel'!$A:$A,0)),"")</f>
        <v>STRUKTUR</v>
      </c>
      <c r="D1905" s="12" t="str">
        <f>IFERROR(INDEX('10 Artikel'!$F:$F,MATCH($A1905,'10 Artikel'!$A:$A,0)),"")</f>
        <v>KORPUS</v>
      </c>
      <c r="E1905" s="12" t="str">
        <f>IFERROR(INDEX('10 Artikel'!$G:$G,MATCH($A1905,'10 Artikel'!$A:$A,0)),"")</f>
        <v>MITTELSEITE</v>
      </c>
      <c r="F1905" s="13" t="str">
        <f>IFERROR(INDEX('10 Artikel'!$H:$H,MATCH($A1905,'10 Artikel'!$A:$A,0)),"")</f>
        <v>R</v>
      </c>
      <c r="G1905" s="12" t="str">
        <f>IFERROR(INDEX('10 Artikel'!$I:$I,MATCH($A1905,'10 Artikel'!$A:$A,0)),"")</f>
        <v>MATRIX_AUF</v>
      </c>
      <c r="H1905" s="12" t="str">
        <f>IFERROR(INDEX('10 Artikel'!$J:$J,MATCH($A1905,'10 Artikel'!$A:$A,0)),"")</f>
        <v>Stück</v>
      </c>
      <c r="I1905" s="12" t="str">
        <f>IFERROR(INDEX('10 Artikel'!$K:$K,MATCH($A1905,'10 Artikel'!$A:$A,0)),"")</f>
        <v>BREITE</v>
      </c>
      <c r="J1905" s="11" t="s">
        <v>1410</v>
      </c>
      <c r="K1905" s="11" t="s">
        <v>1357</v>
      </c>
      <c r="L1905" s="11" t="s">
        <v>853</v>
      </c>
      <c r="O1905" s="14">
        <v>424.8</v>
      </c>
      <c r="P1905" s="8" t="s">
        <v>846</v>
      </c>
      <c r="Q1905" s="8">
        <v>15</v>
      </c>
    </row>
    <row r="1906" customFormat="false" ht="15" hidden="false" customHeight="false" outlineLevel="0" collapsed="false">
      <c r="A1906" s="11" t="s">
        <v>658</v>
      </c>
      <c r="B1906" s="12" t="str">
        <f>IFERROR(INDEX('10 Artikel'!$C:$C,MATCH($A1906,'10 Artikel'!$A:$A,0)),"")</f>
        <v>Einlegeboden - fest oder verstellbar</v>
      </c>
      <c r="C1906" s="12" t="str">
        <f>IFERROR(INDEX('10 Artikel'!$E:$E,MATCH($A1906,'10 Artikel'!$A:$A,0)),"")</f>
        <v>AUSSTATTUNG</v>
      </c>
      <c r="D1906" s="12" t="str">
        <f>IFERROR(INDEX('10 Artikel'!$F:$F,MATCH($A1906,'10 Artikel'!$A:$A,0)),"")</f>
        <v>INNENAUSSTATTUNG</v>
      </c>
      <c r="E1906" s="12" t="str">
        <f>IFERROR(INDEX('10 Artikel'!$G:$G,MATCH($A1906,'10 Artikel'!$A:$A,0)),"")</f>
        <v>BODEN</v>
      </c>
      <c r="F1906" s="13" t="str">
        <f>IFERROR(INDEX('10 Artikel'!$H:$H,MATCH($A1906,'10 Artikel'!$A:$A,0)),"")</f>
        <v>R</v>
      </c>
      <c r="G1906" s="12" t="str">
        <f>IFERROR(INDEX('10 Artikel'!$I:$I,MATCH($A1906,'10 Artikel'!$A:$A,0)),"")</f>
        <v>MATRIX_AUF</v>
      </c>
      <c r="H1906" s="12" t="str">
        <f>IFERROR(INDEX('10 Artikel'!$J:$J,MATCH($A1906,'10 Artikel'!$A:$A,0)),"")</f>
        <v>EUR</v>
      </c>
      <c r="I1906" s="12" t="str">
        <f>IFERROR(INDEX('10 Artikel'!$K:$K,MATCH($A1906,'10 Artikel'!$A:$A,0)),"")</f>
        <v>BREITE</v>
      </c>
      <c r="J1906" s="11" t="s">
        <v>1338</v>
      </c>
      <c r="K1906" s="11" t="s">
        <v>1390</v>
      </c>
      <c r="L1906" s="11" t="s">
        <v>850</v>
      </c>
      <c r="O1906" s="14">
        <v>40</v>
      </c>
      <c r="P1906" s="8" t="s">
        <v>846</v>
      </c>
      <c r="Q1906" s="8">
        <v>26</v>
      </c>
    </row>
    <row r="1907" customFormat="false" ht="15" hidden="false" customHeight="false" outlineLevel="0" collapsed="false">
      <c r="A1907" s="11" t="s">
        <v>658</v>
      </c>
      <c r="B1907" s="12" t="str">
        <f>IFERROR(INDEX('10 Artikel'!$C:$C,MATCH($A1907,'10 Artikel'!$A:$A,0)),"")</f>
        <v>Einlegeboden - fest oder verstellbar</v>
      </c>
      <c r="C1907" s="12" t="str">
        <f>IFERROR(INDEX('10 Artikel'!$E:$E,MATCH($A1907,'10 Artikel'!$A:$A,0)),"")</f>
        <v>AUSSTATTUNG</v>
      </c>
      <c r="D1907" s="12" t="str">
        <f>IFERROR(INDEX('10 Artikel'!$F:$F,MATCH($A1907,'10 Artikel'!$A:$A,0)),"")</f>
        <v>INNENAUSSTATTUNG</v>
      </c>
      <c r="E1907" s="12" t="str">
        <f>IFERROR(INDEX('10 Artikel'!$G:$G,MATCH($A1907,'10 Artikel'!$A:$A,0)),"")</f>
        <v>BODEN</v>
      </c>
      <c r="F1907" s="13" t="str">
        <f>IFERROR(INDEX('10 Artikel'!$H:$H,MATCH($A1907,'10 Artikel'!$A:$A,0)),"")</f>
        <v>R</v>
      </c>
      <c r="G1907" s="12" t="str">
        <f>IFERROR(INDEX('10 Artikel'!$I:$I,MATCH($A1907,'10 Artikel'!$A:$A,0)),"")</f>
        <v>MATRIX_AUF</v>
      </c>
      <c r="H1907" s="12" t="str">
        <f>IFERROR(INDEX('10 Artikel'!$J:$J,MATCH($A1907,'10 Artikel'!$A:$A,0)),"")</f>
        <v>EUR</v>
      </c>
      <c r="I1907" s="12" t="str">
        <f>IFERROR(INDEX('10 Artikel'!$K:$K,MATCH($A1907,'10 Artikel'!$A:$A,0)),"")</f>
        <v>BREITE</v>
      </c>
      <c r="J1907" s="11" t="s">
        <v>1338</v>
      </c>
      <c r="K1907" s="11" t="s">
        <v>1390</v>
      </c>
      <c r="L1907" s="11" t="s">
        <v>851</v>
      </c>
      <c r="O1907" s="14">
        <v>40</v>
      </c>
      <c r="P1907" s="8" t="s">
        <v>846</v>
      </c>
      <c r="Q1907" s="8">
        <v>13</v>
      </c>
    </row>
    <row r="1908" customFormat="false" ht="15" hidden="false" customHeight="false" outlineLevel="0" collapsed="false">
      <c r="A1908" s="11" t="s">
        <v>658</v>
      </c>
      <c r="B1908" s="12" t="str">
        <f>IFERROR(INDEX('10 Artikel'!$C:$C,MATCH($A1908,'10 Artikel'!$A:$A,0)),"")</f>
        <v>Einlegeboden - fest oder verstellbar</v>
      </c>
      <c r="C1908" s="12" t="str">
        <f>IFERROR(INDEX('10 Artikel'!$E:$E,MATCH($A1908,'10 Artikel'!$A:$A,0)),"")</f>
        <v>AUSSTATTUNG</v>
      </c>
      <c r="D1908" s="12" t="str">
        <f>IFERROR(INDEX('10 Artikel'!$F:$F,MATCH($A1908,'10 Artikel'!$A:$A,0)),"")</f>
        <v>INNENAUSSTATTUNG</v>
      </c>
      <c r="E1908" s="12" t="str">
        <f>IFERROR(INDEX('10 Artikel'!$G:$G,MATCH($A1908,'10 Artikel'!$A:$A,0)),"")</f>
        <v>BODEN</v>
      </c>
      <c r="F1908" s="13" t="str">
        <f>IFERROR(INDEX('10 Artikel'!$H:$H,MATCH($A1908,'10 Artikel'!$A:$A,0)),"")</f>
        <v>R</v>
      </c>
      <c r="G1908" s="12" t="str">
        <f>IFERROR(INDEX('10 Artikel'!$I:$I,MATCH($A1908,'10 Artikel'!$A:$A,0)),"")</f>
        <v>MATRIX_AUF</v>
      </c>
      <c r="H1908" s="12" t="str">
        <f>IFERROR(INDEX('10 Artikel'!$J:$J,MATCH($A1908,'10 Artikel'!$A:$A,0)),"")</f>
        <v>EUR</v>
      </c>
      <c r="I1908" s="12" t="str">
        <f>IFERROR(INDEX('10 Artikel'!$K:$K,MATCH($A1908,'10 Artikel'!$A:$A,0)),"")</f>
        <v>BREITE</v>
      </c>
      <c r="J1908" s="11" t="s">
        <v>1338</v>
      </c>
      <c r="K1908" s="11" t="s">
        <v>1390</v>
      </c>
      <c r="L1908" s="11" t="s">
        <v>852</v>
      </c>
      <c r="O1908" s="14">
        <v>45</v>
      </c>
      <c r="P1908" s="8" t="s">
        <v>846</v>
      </c>
      <c r="Q1908" s="8">
        <v>13</v>
      </c>
    </row>
    <row r="1909" customFormat="false" ht="15" hidden="false" customHeight="false" outlineLevel="0" collapsed="false">
      <c r="A1909" s="11" t="s">
        <v>658</v>
      </c>
      <c r="B1909" s="12" t="str">
        <f>IFERROR(INDEX('10 Artikel'!$C:$C,MATCH($A1909,'10 Artikel'!$A:$A,0)),"")</f>
        <v>Einlegeboden - fest oder verstellbar</v>
      </c>
      <c r="C1909" s="12" t="str">
        <f>IFERROR(INDEX('10 Artikel'!$E:$E,MATCH($A1909,'10 Artikel'!$A:$A,0)),"")</f>
        <v>AUSSTATTUNG</v>
      </c>
      <c r="D1909" s="12" t="str">
        <f>IFERROR(INDEX('10 Artikel'!$F:$F,MATCH($A1909,'10 Artikel'!$A:$A,0)),"")</f>
        <v>INNENAUSSTATTUNG</v>
      </c>
      <c r="E1909" s="12" t="str">
        <f>IFERROR(INDEX('10 Artikel'!$G:$G,MATCH($A1909,'10 Artikel'!$A:$A,0)),"")</f>
        <v>BODEN</v>
      </c>
      <c r="F1909" s="13" t="str">
        <f>IFERROR(INDEX('10 Artikel'!$H:$H,MATCH($A1909,'10 Artikel'!$A:$A,0)),"")</f>
        <v>R</v>
      </c>
      <c r="G1909" s="12" t="str">
        <f>IFERROR(INDEX('10 Artikel'!$I:$I,MATCH($A1909,'10 Artikel'!$A:$A,0)),"")</f>
        <v>MATRIX_AUF</v>
      </c>
      <c r="H1909" s="12" t="str">
        <f>IFERROR(INDEX('10 Artikel'!$J:$J,MATCH($A1909,'10 Artikel'!$A:$A,0)),"")</f>
        <v>EUR</v>
      </c>
      <c r="I1909" s="12" t="str">
        <f>IFERROR(INDEX('10 Artikel'!$K:$K,MATCH($A1909,'10 Artikel'!$A:$A,0)),"")</f>
        <v>BREITE</v>
      </c>
      <c r="J1909" s="11" t="s">
        <v>1338</v>
      </c>
      <c r="K1909" s="11" t="s">
        <v>1390</v>
      </c>
      <c r="L1909" s="11" t="s">
        <v>853</v>
      </c>
      <c r="O1909" s="14">
        <v>50</v>
      </c>
      <c r="P1909" s="8" t="s">
        <v>846</v>
      </c>
      <c r="Q1909" s="8">
        <v>13</v>
      </c>
    </row>
    <row r="1910" customFormat="false" ht="15" hidden="false" customHeight="false" outlineLevel="0" collapsed="false">
      <c r="A1910" s="11" t="s">
        <v>658</v>
      </c>
      <c r="B1910" s="12" t="str">
        <f>IFERROR(INDEX('10 Artikel'!$C:$C,MATCH($A1910,'10 Artikel'!$A:$A,0)),"")</f>
        <v>Einlegeboden - fest oder verstellbar</v>
      </c>
      <c r="C1910" s="12" t="str">
        <f>IFERROR(INDEX('10 Artikel'!$E:$E,MATCH($A1910,'10 Artikel'!$A:$A,0)),"")</f>
        <v>AUSSTATTUNG</v>
      </c>
      <c r="D1910" s="12" t="str">
        <f>IFERROR(INDEX('10 Artikel'!$F:$F,MATCH($A1910,'10 Artikel'!$A:$A,0)),"")</f>
        <v>INNENAUSSTATTUNG</v>
      </c>
      <c r="E1910" s="12" t="str">
        <f>IFERROR(INDEX('10 Artikel'!$G:$G,MATCH($A1910,'10 Artikel'!$A:$A,0)),"")</f>
        <v>BODEN</v>
      </c>
      <c r="F1910" s="13" t="str">
        <f>IFERROR(INDEX('10 Artikel'!$H:$H,MATCH($A1910,'10 Artikel'!$A:$A,0)),"")</f>
        <v>R</v>
      </c>
      <c r="G1910" s="12" t="str">
        <f>IFERROR(INDEX('10 Artikel'!$I:$I,MATCH($A1910,'10 Artikel'!$A:$A,0)),"")</f>
        <v>MATRIX_AUF</v>
      </c>
      <c r="H1910" s="12" t="str">
        <f>IFERROR(INDEX('10 Artikel'!$J:$J,MATCH($A1910,'10 Artikel'!$A:$A,0)),"")</f>
        <v>EUR</v>
      </c>
      <c r="I1910" s="12" t="str">
        <f>IFERROR(INDEX('10 Artikel'!$K:$K,MATCH($A1910,'10 Artikel'!$A:$A,0)),"")</f>
        <v>BREITE</v>
      </c>
      <c r="J1910" s="11" t="s">
        <v>1338</v>
      </c>
      <c r="K1910" s="11" t="s">
        <v>1419</v>
      </c>
      <c r="L1910" s="11" t="s">
        <v>850</v>
      </c>
      <c r="O1910" s="14">
        <v>40</v>
      </c>
      <c r="P1910" s="8" t="s">
        <v>846</v>
      </c>
      <c r="Q1910" s="8">
        <v>26</v>
      </c>
    </row>
    <row r="1911" customFormat="false" ht="15" hidden="false" customHeight="false" outlineLevel="0" collapsed="false">
      <c r="A1911" s="11" t="s">
        <v>658</v>
      </c>
      <c r="B1911" s="12" t="str">
        <f>IFERROR(INDEX('10 Artikel'!$C:$C,MATCH($A1911,'10 Artikel'!$A:$A,0)),"")</f>
        <v>Einlegeboden - fest oder verstellbar</v>
      </c>
      <c r="C1911" s="12" t="str">
        <f>IFERROR(INDEX('10 Artikel'!$E:$E,MATCH($A1911,'10 Artikel'!$A:$A,0)),"")</f>
        <v>AUSSTATTUNG</v>
      </c>
      <c r="D1911" s="12" t="str">
        <f>IFERROR(INDEX('10 Artikel'!$F:$F,MATCH($A1911,'10 Artikel'!$A:$A,0)),"")</f>
        <v>INNENAUSSTATTUNG</v>
      </c>
      <c r="E1911" s="12" t="str">
        <f>IFERROR(INDEX('10 Artikel'!$G:$G,MATCH($A1911,'10 Artikel'!$A:$A,0)),"")</f>
        <v>BODEN</v>
      </c>
      <c r="F1911" s="13" t="str">
        <f>IFERROR(INDEX('10 Artikel'!$H:$H,MATCH($A1911,'10 Artikel'!$A:$A,0)),"")</f>
        <v>R</v>
      </c>
      <c r="G1911" s="12" t="str">
        <f>IFERROR(INDEX('10 Artikel'!$I:$I,MATCH($A1911,'10 Artikel'!$A:$A,0)),"")</f>
        <v>MATRIX_AUF</v>
      </c>
      <c r="H1911" s="12" t="str">
        <f>IFERROR(INDEX('10 Artikel'!$J:$J,MATCH($A1911,'10 Artikel'!$A:$A,0)),"")</f>
        <v>EUR</v>
      </c>
      <c r="I1911" s="12" t="str">
        <f>IFERROR(INDEX('10 Artikel'!$K:$K,MATCH($A1911,'10 Artikel'!$A:$A,0)),"")</f>
        <v>BREITE</v>
      </c>
      <c r="J1911" s="11" t="s">
        <v>1338</v>
      </c>
      <c r="K1911" s="11" t="s">
        <v>1419</v>
      </c>
      <c r="L1911" s="11" t="s">
        <v>851</v>
      </c>
      <c r="O1911" s="14">
        <v>45</v>
      </c>
      <c r="P1911" s="8" t="s">
        <v>846</v>
      </c>
      <c r="Q1911" s="8">
        <v>14</v>
      </c>
    </row>
    <row r="1912" customFormat="false" ht="15" hidden="false" customHeight="false" outlineLevel="0" collapsed="false">
      <c r="A1912" s="11" t="s">
        <v>658</v>
      </c>
      <c r="B1912" s="12" t="str">
        <f>IFERROR(INDEX('10 Artikel'!$C:$C,MATCH($A1912,'10 Artikel'!$A:$A,0)),"")</f>
        <v>Einlegeboden - fest oder verstellbar</v>
      </c>
      <c r="C1912" s="12" t="str">
        <f>IFERROR(INDEX('10 Artikel'!$E:$E,MATCH($A1912,'10 Artikel'!$A:$A,0)),"")</f>
        <v>AUSSTATTUNG</v>
      </c>
      <c r="D1912" s="12" t="str">
        <f>IFERROR(INDEX('10 Artikel'!$F:$F,MATCH($A1912,'10 Artikel'!$A:$A,0)),"")</f>
        <v>INNENAUSSTATTUNG</v>
      </c>
      <c r="E1912" s="12" t="str">
        <f>IFERROR(INDEX('10 Artikel'!$G:$G,MATCH($A1912,'10 Artikel'!$A:$A,0)),"")</f>
        <v>BODEN</v>
      </c>
      <c r="F1912" s="13" t="str">
        <f>IFERROR(INDEX('10 Artikel'!$H:$H,MATCH($A1912,'10 Artikel'!$A:$A,0)),"")</f>
        <v>R</v>
      </c>
      <c r="G1912" s="12" t="str">
        <f>IFERROR(INDEX('10 Artikel'!$I:$I,MATCH($A1912,'10 Artikel'!$A:$A,0)),"")</f>
        <v>MATRIX_AUF</v>
      </c>
      <c r="H1912" s="12" t="str">
        <f>IFERROR(INDEX('10 Artikel'!$J:$J,MATCH($A1912,'10 Artikel'!$A:$A,0)),"")</f>
        <v>EUR</v>
      </c>
      <c r="I1912" s="12" t="str">
        <f>IFERROR(INDEX('10 Artikel'!$K:$K,MATCH($A1912,'10 Artikel'!$A:$A,0)),"")</f>
        <v>BREITE</v>
      </c>
      <c r="J1912" s="11" t="s">
        <v>1338</v>
      </c>
      <c r="K1912" s="11" t="s">
        <v>1419</v>
      </c>
      <c r="L1912" s="11" t="s">
        <v>852</v>
      </c>
      <c r="O1912" s="14">
        <v>50</v>
      </c>
      <c r="P1912" s="8" t="s">
        <v>846</v>
      </c>
      <c r="Q1912" s="8">
        <v>14</v>
      </c>
    </row>
    <row r="1913" customFormat="false" ht="15" hidden="false" customHeight="false" outlineLevel="0" collapsed="false">
      <c r="A1913" s="11" t="s">
        <v>658</v>
      </c>
      <c r="B1913" s="12" t="str">
        <f>IFERROR(INDEX('10 Artikel'!$C:$C,MATCH($A1913,'10 Artikel'!$A:$A,0)),"")</f>
        <v>Einlegeboden - fest oder verstellbar</v>
      </c>
      <c r="C1913" s="12" t="str">
        <f>IFERROR(INDEX('10 Artikel'!$E:$E,MATCH($A1913,'10 Artikel'!$A:$A,0)),"")</f>
        <v>AUSSTATTUNG</v>
      </c>
      <c r="D1913" s="12" t="str">
        <f>IFERROR(INDEX('10 Artikel'!$F:$F,MATCH($A1913,'10 Artikel'!$A:$A,0)),"")</f>
        <v>INNENAUSSTATTUNG</v>
      </c>
      <c r="E1913" s="12" t="str">
        <f>IFERROR(INDEX('10 Artikel'!$G:$G,MATCH($A1913,'10 Artikel'!$A:$A,0)),"")</f>
        <v>BODEN</v>
      </c>
      <c r="F1913" s="13" t="str">
        <f>IFERROR(INDEX('10 Artikel'!$H:$H,MATCH($A1913,'10 Artikel'!$A:$A,0)),"")</f>
        <v>R</v>
      </c>
      <c r="G1913" s="12" t="str">
        <f>IFERROR(INDEX('10 Artikel'!$I:$I,MATCH($A1913,'10 Artikel'!$A:$A,0)),"")</f>
        <v>MATRIX_AUF</v>
      </c>
      <c r="H1913" s="12" t="str">
        <f>IFERROR(INDEX('10 Artikel'!$J:$J,MATCH($A1913,'10 Artikel'!$A:$A,0)),"")</f>
        <v>EUR</v>
      </c>
      <c r="I1913" s="12" t="str">
        <f>IFERROR(INDEX('10 Artikel'!$K:$K,MATCH($A1913,'10 Artikel'!$A:$A,0)),"")</f>
        <v>BREITE</v>
      </c>
      <c r="J1913" s="11" t="s">
        <v>1338</v>
      </c>
      <c r="K1913" s="11" t="s">
        <v>1419</v>
      </c>
      <c r="L1913" s="11" t="s">
        <v>853</v>
      </c>
      <c r="O1913" s="14">
        <v>55</v>
      </c>
      <c r="P1913" s="8" t="s">
        <v>846</v>
      </c>
      <c r="Q1913" s="8">
        <v>14</v>
      </c>
    </row>
    <row r="1914" customFormat="false" ht="15" hidden="false" customHeight="false" outlineLevel="0" collapsed="false">
      <c r="A1914" s="11" t="s">
        <v>658</v>
      </c>
      <c r="B1914" s="12" t="str">
        <f>IFERROR(INDEX('10 Artikel'!$C:$C,MATCH($A1914,'10 Artikel'!$A:$A,0)),"")</f>
        <v>Einlegeboden - fest oder verstellbar</v>
      </c>
      <c r="C1914" s="12" t="str">
        <f>IFERROR(INDEX('10 Artikel'!$E:$E,MATCH($A1914,'10 Artikel'!$A:$A,0)),"")</f>
        <v>AUSSTATTUNG</v>
      </c>
      <c r="D1914" s="12" t="str">
        <f>IFERROR(INDEX('10 Artikel'!$F:$F,MATCH($A1914,'10 Artikel'!$A:$A,0)),"")</f>
        <v>INNENAUSSTATTUNG</v>
      </c>
      <c r="E1914" s="12" t="str">
        <f>IFERROR(INDEX('10 Artikel'!$G:$G,MATCH($A1914,'10 Artikel'!$A:$A,0)),"")</f>
        <v>BODEN</v>
      </c>
      <c r="F1914" s="13" t="str">
        <f>IFERROR(INDEX('10 Artikel'!$H:$H,MATCH($A1914,'10 Artikel'!$A:$A,0)),"")</f>
        <v>R</v>
      </c>
      <c r="G1914" s="12" t="str">
        <f>IFERROR(INDEX('10 Artikel'!$I:$I,MATCH($A1914,'10 Artikel'!$A:$A,0)),"")</f>
        <v>MATRIX_AUF</v>
      </c>
      <c r="H1914" s="12" t="str">
        <f>IFERROR(INDEX('10 Artikel'!$J:$J,MATCH($A1914,'10 Artikel'!$A:$A,0)),"")</f>
        <v>EUR</v>
      </c>
      <c r="I1914" s="12" t="str">
        <f>IFERROR(INDEX('10 Artikel'!$K:$K,MATCH($A1914,'10 Artikel'!$A:$A,0)),"")</f>
        <v>BREITE</v>
      </c>
      <c r="J1914" s="11" t="s">
        <v>1338</v>
      </c>
      <c r="K1914" s="11" t="s">
        <v>1357</v>
      </c>
      <c r="L1914" s="11" t="s">
        <v>851</v>
      </c>
      <c r="O1914" s="14">
        <v>50</v>
      </c>
      <c r="P1914" s="8" t="s">
        <v>846</v>
      </c>
      <c r="Q1914" s="8">
        <v>15</v>
      </c>
    </row>
    <row r="1915" customFormat="false" ht="15" hidden="false" customHeight="false" outlineLevel="0" collapsed="false">
      <c r="A1915" s="11" t="s">
        <v>658</v>
      </c>
      <c r="B1915" s="12" t="str">
        <f>IFERROR(INDEX('10 Artikel'!$C:$C,MATCH($A1915,'10 Artikel'!$A:$A,0)),"")</f>
        <v>Einlegeboden - fest oder verstellbar</v>
      </c>
      <c r="C1915" s="12" t="str">
        <f>IFERROR(INDEX('10 Artikel'!$E:$E,MATCH($A1915,'10 Artikel'!$A:$A,0)),"")</f>
        <v>AUSSTATTUNG</v>
      </c>
      <c r="D1915" s="12" t="str">
        <f>IFERROR(INDEX('10 Artikel'!$F:$F,MATCH($A1915,'10 Artikel'!$A:$A,0)),"")</f>
        <v>INNENAUSSTATTUNG</v>
      </c>
      <c r="E1915" s="12" t="str">
        <f>IFERROR(INDEX('10 Artikel'!$G:$G,MATCH($A1915,'10 Artikel'!$A:$A,0)),"")</f>
        <v>BODEN</v>
      </c>
      <c r="F1915" s="13" t="str">
        <f>IFERROR(INDEX('10 Artikel'!$H:$H,MATCH($A1915,'10 Artikel'!$A:$A,0)),"")</f>
        <v>R</v>
      </c>
      <c r="G1915" s="12" t="str">
        <f>IFERROR(INDEX('10 Artikel'!$I:$I,MATCH($A1915,'10 Artikel'!$A:$A,0)),"")</f>
        <v>MATRIX_AUF</v>
      </c>
      <c r="H1915" s="12" t="str">
        <f>IFERROR(INDEX('10 Artikel'!$J:$J,MATCH($A1915,'10 Artikel'!$A:$A,0)),"")</f>
        <v>EUR</v>
      </c>
      <c r="I1915" s="12" t="str">
        <f>IFERROR(INDEX('10 Artikel'!$K:$K,MATCH($A1915,'10 Artikel'!$A:$A,0)),"")</f>
        <v>BREITE</v>
      </c>
      <c r="J1915" s="11" t="s">
        <v>1338</v>
      </c>
      <c r="K1915" s="11" t="s">
        <v>1357</v>
      </c>
      <c r="L1915" s="11" t="s">
        <v>852</v>
      </c>
      <c r="O1915" s="14">
        <v>55</v>
      </c>
      <c r="P1915" s="8" t="s">
        <v>846</v>
      </c>
      <c r="Q1915" s="8">
        <v>15</v>
      </c>
    </row>
    <row r="1916" customFormat="false" ht="15" hidden="false" customHeight="false" outlineLevel="0" collapsed="false">
      <c r="A1916" s="11" t="s">
        <v>658</v>
      </c>
      <c r="B1916" s="12" t="str">
        <f>IFERROR(INDEX('10 Artikel'!$C:$C,MATCH($A1916,'10 Artikel'!$A:$A,0)),"")</f>
        <v>Einlegeboden - fest oder verstellbar</v>
      </c>
      <c r="C1916" s="12" t="str">
        <f>IFERROR(INDEX('10 Artikel'!$E:$E,MATCH($A1916,'10 Artikel'!$A:$A,0)),"")</f>
        <v>AUSSTATTUNG</v>
      </c>
      <c r="D1916" s="12" t="str">
        <f>IFERROR(INDEX('10 Artikel'!$F:$F,MATCH($A1916,'10 Artikel'!$A:$A,0)),"")</f>
        <v>INNENAUSSTATTUNG</v>
      </c>
      <c r="E1916" s="12" t="str">
        <f>IFERROR(INDEX('10 Artikel'!$G:$G,MATCH($A1916,'10 Artikel'!$A:$A,0)),"")</f>
        <v>BODEN</v>
      </c>
      <c r="F1916" s="13" t="str">
        <f>IFERROR(INDEX('10 Artikel'!$H:$H,MATCH($A1916,'10 Artikel'!$A:$A,0)),"")</f>
        <v>R</v>
      </c>
      <c r="G1916" s="12" t="str">
        <f>IFERROR(INDEX('10 Artikel'!$I:$I,MATCH($A1916,'10 Artikel'!$A:$A,0)),"")</f>
        <v>MATRIX_AUF</v>
      </c>
      <c r="H1916" s="12" t="str">
        <f>IFERROR(INDEX('10 Artikel'!$J:$J,MATCH($A1916,'10 Artikel'!$A:$A,0)),"")</f>
        <v>EUR</v>
      </c>
      <c r="I1916" s="12" t="str">
        <f>IFERROR(INDEX('10 Artikel'!$K:$K,MATCH($A1916,'10 Artikel'!$A:$A,0)),"")</f>
        <v>BREITE</v>
      </c>
      <c r="J1916" s="11" t="s">
        <v>1338</v>
      </c>
      <c r="K1916" s="11" t="s">
        <v>1357</v>
      </c>
      <c r="L1916" s="11" t="s">
        <v>853</v>
      </c>
      <c r="O1916" s="14">
        <v>60</v>
      </c>
      <c r="P1916" s="8" t="s">
        <v>846</v>
      </c>
      <c r="Q1916" s="8">
        <v>15</v>
      </c>
    </row>
    <row r="1917" customFormat="false" ht="15" hidden="false" customHeight="false" outlineLevel="0" collapsed="false">
      <c r="A1917" s="11" t="s">
        <v>658</v>
      </c>
      <c r="B1917" s="12" t="str">
        <f>IFERROR(INDEX('10 Artikel'!$C:$C,MATCH($A1917,'10 Artikel'!$A:$A,0)),"")</f>
        <v>Einlegeboden - fest oder verstellbar</v>
      </c>
      <c r="C1917" s="12" t="str">
        <f>IFERROR(INDEX('10 Artikel'!$E:$E,MATCH($A1917,'10 Artikel'!$A:$A,0)),"")</f>
        <v>AUSSTATTUNG</v>
      </c>
      <c r="D1917" s="12" t="str">
        <f>IFERROR(INDEX('10 Artikel'!$F:$F,MATCH($A1917,'10 Artikel'!$A:$A,0)),"")</f>
        <v>INNENAUSSTATTUNG</v>
      </c>
      <c r="E1917" s="12" t="str">
        <f>IFERROR(INDEX('10 Artikel'!$G:$G,MATCH($A1917,'10 Artikel'!$A:$A,0)),"")</f>
        <v>BODEN</v>
      </c>
      <c r="F1917" s="13" t="str">
        <f>IFERROR(INDEX('10 Artikel'!$H:$H,MATCH($A1917,'10 Artikel'!$A:$A,0)),"")</f>
        <v>R</v>
      </c>
      <c r="G1917" s="12" t="str">
        <f>IFERROR(INDEX('10 Artikel'!$I:$I,MATCH($A1917,'10 Artikel'!$A:$A,0)),"")</f>
        <v>MATRIX_AUF</v>
      </c>
      <c r="H1917" s="12" t="str">
        <f>IFERROR(INDEX('10 Artikel'!$J:$J,MATCH($A1917,'10 Artikel'!$A:$A,0)),"")</f>
        <v>EUR</v>
      </c>
      <c r="I1917" s="12" t="str">
        <f>IFERROR(INDEX('10 Artikel'!$K:$K,MATCH($A1917,'10 Artikel'!$A:$A,0)),"")</f>
        <v>BREITE</v>
      </c>
      <c r="J1917" s="11" t="s">
        <v>1339</v>
      </c>
      <c r="K1917" s="11" t="s">
        <v>1390</v>
      </c>
      <c r="L1917" s="11" t="s">
        <v>850</v>
      </c>
      <c r="O1917" s="14">
        <v>45</v>
      </c>
      <c r="P1917" s="8" t="s">
        <v>846</v>
      </c>
      <c r="Q1917" s="8">
        <v>26</v>
      </c>
    </row>
    <row r="1918" customFormat="false" ht="15" hidden="false" customHeight="false" outlineLevel="0" collapsed="false">
      <c r="A1918" s="11" t="s">
        <v>658</v>
      </c>
      <c r="B1918" s="12" t="str">
        <f>IFERROR(INDEX('10 Artikel'!$C:$C,MATCH($A1918,'10 Artikel'!$A:$A,0)),"")</f>
        <v>Einlegeboden - fest oder verstellbar</v>
      </c>
      <c r="C1918" s="12" t="str">
        <f>IFERROR(INDEX('10 Artikel'!$E:$E,MATCH($A1918,'10 Artikel'!$A:$A,0)),"")</f>
        <v>AUSSTATTUNG</v>
      </c>
      <c r="D1918" s="12" t="str">
        <f>IFERROR(INDEX('10 Artikel'!$F:$F,MATCH($A1918,'10 Artikel'!$A:$A,0)),"")</f>
        <v>INNENAUSSTATTUNG</v>
      </c>
      <c r="E1918" s="12" t="str">
        <f>IFERROR(INDEX('10 Artikel'!$G:$G,MATCH($A1918,'10 Artikel'!$A:$A,0)),"")</f>
        <v>BODEN</v>
      </c>
      <c r="F1918" s="13" t="str">
        <f>IFERROR(INDEX('10 Artikel'!$H:$H,MATCH($A1918,'10 Artikel'!$A:$A,0)),"")</f>
        <v>R</v>
      </c>
      <c r="G1918" s="12" t="str">
        <f>IFERROR(INDEX('10 Artikel'!$I:$I,MATCH($A1918,'10 Artikel'!$A:$A,0)),"")</f>
        <v>MATRIX_AUF</v>
      </c>
      <c r="H1918" s="12" t="str">
        <f>IFERROR(INDEX('10 Artikel'!$J:$J,MATCH($A1918,'10 Artikel'!$A:$A,0)),"")</f>
        <v>EUR</v>
      </c>
      <c r="I1918" s="12" t="str">
        <f>IFERROR(INDEX('10 Artikel'!$K:$K,MATCH($A1918,'10 Artikel'!$A:$A,0)),"")</f>
        <v>BREITE</v>
      </c>
      <c r="J1918" s="11" t="s">
        <v>1339</v>
      </c>
      <c r="K1918" s="11" t="s">
        <v>1390</v>
      </c>
      <c r="L1918" s="11" t="s">
        <v>851</v>
      </c>
      <c r="O1918" s="14">
        <v>45</v>
      </c>
      <c r="P1918" s="8" t="s">
        <v>846</v>
      </c>
      <c r="Q1918" s="8">
        <v>13</v>
      </c>
    </row>
    <row r="1919" customFormat="false" ht="15" hidden="false" customHeight="false" outlineLevel="0" collapsed="false">
      <c r="A1919" s="11" t="s">
        <v>658</v>
      </c>
      <c r="B1919" s="12" t="str">
        <f>IFERROR(INDEX('10 Artikel'!$C:$C,MATCH($A1919,'10 Artikel'!$A:$A,0)),"")</f>
        <v>Einlegeboden - fest oder verstellbar</v>
      </c>
      <c r="C1919" s="12" t="str">
        <f>IFERROR(INDEX('10 Artikel'!$E:$E,MATCH($A1919,'10 Artikel'!$A:$A,0)),"")</f>
        <v>AUSSTATTUNG</v>
      </c>
      <c r="D1919" s="12" t="str">
        <f>IFERROR(INDEX('10 Artikel'!$F:$F,MATCH($A1919,'10 Artikel'!$A:$A,0)),"")</f>
        <v>INNENAUSSTATTUNG</v>
      </c>
      <c r="E1919" s="12" t="str">
        <f>IFERROR(INDEX('10 Artikel'!$G:$G,MATCH($A1919,'10 Artikel'!$A:$A,0)),"")</f>
        <v>BODEN</v>
      </c>
      <c r="F1919" s="13" t="str">
        <f>IFERROR(INDEX('10 Artikel'!$H:$H,MATCH($A1919,'10 Artikel'!$A:$A,0)),"")</f>
        <v>R</v>
      </c>
      <c r="G1919" s="12" t="str">
        <f>IFERROR(INDEX('10 Artikel'!$I:$I,MATCH($A1919,'10 Artikel'!$A:$A,0)),"")</f>
        <v>MATRIX_AUF</v>
      </c>
      <c r="H1919" s="12" t="str">
        <f>IFERROR(INDEX('10 Artikel'!$J:$J,MATCH($A1919,'10 Artikel'!$A:$A,0)),"")</f>
        <v>EUR</v>
      </c>
      <c r="I1919" s="12" t="str">
        <f>IFERROR(INDEX('10 Artikel'!$K:$K,MATCH($A1919,'10 Artikel'!$A:$A,0)),"")</f>
        <v>BREITE</v>
      </c>
      <c r="J1919" s="11" t="s">
        <v>1339</v>
      </c>
      <c r="K1919" s="11" t="s">
        <v>1390</v>
      </c>
      <c r="L1919" s="11" t="s">
        <v>852</v>
      </c>
      <c r="O1919" s="14">
        <v>50</v>
      </c>
      <c r="P1919" s="8" t="s">
        <v>846</v>
      </c>
      <c r="Q1919" s="8">
        <v>13</v>
      </c>
    </row>
    <row r="1920" customFormat="false" ht="15" hidden="false" customHeight="false" outlineLevel="0" collapsed="false">
      <c r="A1920" s="11" t="s">
        <v>658</v>
      </c>
      <c r="B1920" s="12" t="str">
        <f>IFERROR(INDEX('10 Artikel'!$C:$C,MATCH($A1920,'10 Artikel'!$A:$A,0)),"")</f>
        <v>Einlegeboden - fest oder verstellbar</v>
      </c>
      <c r="C1920" s="12" t="str">
        <f>IFERROR(INDEX('10 Artikel'!$E:$E,MATCH($A1920,'10 Artikel'!$A:$A,0)),"")</f>
        <v>AUSSTATTUNG</v>
      </c>
      <c r="D1920" s="12" t="str">
        <f>IFERROR(INDEX('10 Artikel'!$F:$F,MATCH($A1920,'10 Artikel'!$A:$A,0)),"")</f>
        <v>INNENAUSSTATTUNG</v>
      </c>
      <c r="E1920" s="12" t="str">
        <f>IFERROR(INDEX('10 Artikel'!$G:$G,MATCH($A1920,'10 Artikel'!$A:$A,0)),"")</f>
        <v>BODEN</v>
      </c>
      <c r="F1920" s="13" t="str">
        <f>IFERROR(INDEX('10 Artikel'!$H:$H,MATCH($A1920,'10 Artikel'!$A:$A,0)),"")</f>
        <v>R</v>
      </c>
      <c r="G1920" s="12" t="str">
        <f>IFERROR(INDEX('10 Artikel'!$I:$I,MATCH($A1920,'10 Artikel'!$A:$A,0)),"")</f>
        <v>MATRIX_AUF</v>
      </c>
      <c r="H1920" s="12" t="str">
        <f>IFERROR(INDEX('10 Artikel'!$J:$J,MATCH($A1920,'10 Artikel'!$A:$A,0)),"")</f>
        <v>EUR</v>
      </c>
      <c r="I1920" s="12" t="str">
        <f>IFERROR(INDEX('10 Artikel'!$K:$K,MATCH($A1920,'10 Artikel'!$A:$A,0)),"")</f>
        <v>BREITE</v>
      </c>
      <c r="J1920" s="11" t="s">
        <v>1339</v>
      </c>
      <c r="K1920" s="11" t="s">
        <v>1390</v>
      </c>
      <c r="L1920" s="11" t="s">
        <v>853</v>
      </c>
      <c r="O1920" s="14">
        <v>55</v>
      </c>
      <c r="P1920" s="8" t="s">
        <v>846</v>
      </c>
      <c r="Q1920" s="8">
        <v>13</v>
      </c>
    </row>
    <row r="1921" customFormat="false" ht="15" hidden="false" customHeight="false" outlineLevel="0" collapsed="false">
      <c r="A1921" s="11" t="s">
        <v>658</v>
      </c>
      <c r="B1921" s="12" t="str">
        <f>IFERROR(INDEX('10 Artikel'!$C:$C,MATCH($A1921,'10 Artikel'!$A:$A,0)),"")</f>
        <v>Einlegeboden - fest oder verstellbar</v>
      </c>
      <c r="C1921" s="12" t="str">
        <f>IFERROR(INDEX('10 Artikel'!$E:$E,MATCH($A1921,'10 Artikel'!$A:$A,0)),"")</f>
        <v>AUSSTATTUNG</v>
      </c>
      <c r="D1921" s="12" t="str">
        <f>IFERROR(INDEX('10 Artikel'!$F:$F,MATCH($A1921,'10 Artikel'!$A:$A,0)),"")</f>
        <v>INNENAUSSTATTUNG</v>
      </c>
      <c r="E1921" s="12" t="str">
        <f>IFERROR(INDEX('10 Artikel'!$G:$G,MATCH($A1921,'10 Artikel'!$A:$A,0)),"")</f>
        <v>BODEN</v>
      </c>
      <c r="F1921" s="13" t="str">
        <f>IFERROR(INDEX('10 Artikel'!$H:$H,MATCH($A1921,'10 Artikel'!$A:$A,0)),"")</f>
        <v>R</v>
      </c>
      <c r="G1921" s="12" t="str">
        <f>IFERROR(INDEX('10 Artikel'!$I:$I,MATCH($A1921,'10 Artikel'!$A:$A,0)),"")</f>
        <v>MATRIX_AUF</v>
      </c>
      <c r="H1921" s="12" t="str">
        <f>IFERROR(INDEX('10 Artikel'!$J:$J,MATCH($A1921,'10 Artikel'!$A:$A,0)),"")</f>
        <v>EUR</v>
      </c>
      <c r="I1921" s="12" t="str">
        <f>IFERROR(INDEX('10 Artikel'!$K:$K,MATCH($A1921,'10 Artikel'!$A:$A,0)),"")</f>
        <v>BREITE</v>
      </c>
      <c r="J1921" s="11" t="s">
        <v>1339</v>
      </c>
      <c r="K1921" s="11" t="s">
        <v>1419</v>
      </c>
      <c r="L1921" s="11" t="s">
        <v>850</v>
      </c>
      <c r="O1921" s="14">
        <v>45</v>
      </c>
      <c r="P1921" s="8" t="s">
        <v>846</v>
      </c>
      <c r="Q1921" s="8">
        <v>26</v>
      </c>
    </row>
    <row r="1922" customFormat="false" ht="15" hidden="false" customHeight="false" outlineLevel="0" collapsed="false">
      <c r="A1922" s="11" t="s">
        <v>658</v>
      </c>
      <c r="B1922" s="12" t="str">
        <f>IFERROR(INDEX('10 Artikel'!$C:$C,MATCH($A1922,'10 Artikel'!$A:$A,0)),"")</f>
        <v>Einlegeboden - fest oder verstellbar</v>
      </c>
      <c r="C1922" s="12" t="str">
        <f>IFERROR(INDEX('10 Artikel'!$E:$E,MATCH($A1922,'10 Artikel'!$A:$A,0)),"")</f>
        <v>AUSSTATTUNG</v>
      </c>
      <c r="D1922" s="12" t="str">
        <f>IFERROR(INDEX('10 Artikel'!$F:$F,MATCH($A1922,'10 Artikel'!$A:$A,0)),"")</f>
        <v>INNENAUSSTATTUNG</v>
      </c>
      <c r="E1922" s="12" t="str">
        <f>IFERROR(INDEX('10 Artikel'!$G:$G,MATCH($A1922,'10 Artikel'!$A:$A,0)),"")</f>
        <v>BODEN</v>
      </c>
      <c r="F1922" s="13" t="str">
        <f>IFERROR(INDEX('10 Artikel'!$H:$H,MATCH($A1922,'10 Artikel'!$A:$A,0)),"")</f>
        <v>R</v>
      </c>
      <c r="G1922" s="12" t="str">
        <f>IFERROR(INDEX('10 Artikel'!$I:$I,MATCH($A1922,'10 Artikel'!$A:$A,0)),"")</f>
        <v>MATRIX_AUF</v>
      </c>
      <c r="H1922" s="12" t="str">
        <f>IFERROR(INDEX('10 Artikel'!$J:$J,MATCH($A1922,'10 Artikel'!$A:$A,0)),"")</f>
        <v>EUR</v>
      </c>
      <c r="I1922" s="12" t="str">
        <f>IFERROR(INDEX('10 Artikel'!$K:$K,MATCH($A1922,'10 Artikel'!$A:$A,0)),"")</f>
        <v>BREITE</v>
      </c>
      <c r="J1922" s="11" t="s">
        <v>1339</v>
      </c>
      <c r="K1922" s="11" t="s">
        <v>1419</v>
      </c>
      <c r="L1922" s="11" t="s">
        <v>851</v>
      </c>
      <c r="O1922" s="14">
        <v>50</v>
      </c>
      <c r="P1922" s="8" t="s">
        <v>846</v>
      </c>
      <c r="Q1922" s="8">
        <v>14</v>
      </c>
    </row>
    <row r="1923" customFormat="false" ht="15" hidden="false" customHeight="false" outlineLevel="0" collapsed="false">
      <c r="A1923" s="11" t="s">
        <v>658</v>
      </c>
      <c r="B1923" s="12" t="str">
        <f>IFERROR(INDEX('10 Artikel'!$C:$C,MATCH($A1923,'10 Artikel'!$A:$A,0)),"")</f>
        <v>Einlegeboden - fest oder verstellbar</v>
      </c>
      <c r="C1923" s="12" t="str">
        <f>IFERROR(INDEX('10 Artikel'!$E:$E,MATCH($A1923,'10 Artikel'!$A:$A,0)),"")</f>
        <v>AUSSTATTUNG</v>
      </c>
      <c r="D1923" s="12" t="str">
        <f>IFERROR(INDEX('10 Artikel'!$F:$F,MATCH($A1923,'10 Artikel'!$A:$A,0)),"")</f>
        <v>INNENAUSSTATTUNG</v>
      </c>
      <c r="E1923" s="12" t="str">
        <f>IFERROR(INDEX('10 Artikel'!$G:$G,MATCH($A1923,'10 Artikel'!$A:$A,0)),"")</f>
        <v>BODEN</v>
      </c>
      <c r="F1923" s="13" t="str">
        <f>IFERROR(INDEX('10 Artikel'!$H:$H,MATCH($A1923,'10 Artikel'!$A:$A,0)),"")</f>
        <v>R</v>
      </c>
      <c r="G1923" s="12" t="str">
        <f>IFERROR(INDEX('10 Artikel'!$I:$I,MATCH($A1923,'10 Artikel'!$A:$A,0)),"")</f>
        <v>MATRIX_AUF</v>
      </c>
      <c r="H1923" s="12" t="str">
        <f>IFERROR(INDEX('10 Artikel'!$J:$J,MATCH($A1923,'10 Artikel'!$A:$A,0)),"")</f>
        <v>EUR</v>
      </c>
      <c r="I1923" s="12" t="str">
        <f>IFERROR(INDEX('10 Artikel'!$K:$K,MATCH($A1923,'10 Artikel'!$A:$A,0)),"")</f>
        <v>BREITE</v>
      </c>
      <c r="J1923" s="11" t="s">
        <v>1339</v>
      </c>
      <c r="K1923" s="11" t="s">
        <v>1419</v>
      </c>
      <c r="L1923" s="11" t="s">
        <v>852</v>
      </c>
      <c r="O1923" s="14">
        <v>55</v>
      </c>
      <c r="P1923" s="8" t="s">
        <v>846</v>
      </c>
      <c r="Q1923" s="8">
        <v>14</v>
      </c>
    </row>
    <row r="1924" customFormat="false" ht="15" hidden="false" customHeight="false" outlineLevel="0" collapsed="false">
      <c r="A1924" s="11" t="s">
        <v>658</v>
      </c>
      <c r="B1924" s="12" t="str">
        <f>IFERROR(INDEX('10 Artikel'!$C:$C,MATCH($A1924,'10 Artikel'!$A:$A,0)),"")</f>
        <v>Einlegeboden - fest oder verstellbar</v>
      </c>
      <c r="C1924" s="12" t="str">
        <f>IFERROR(INDEX('10 Artikel'!$E:$E,MATCH($A1924,'10 Artikel'!$A:$A,0)),"")</f>
        <v>AUSSTATTUNG</v>
      </c>
      <c r="D1924" s="12" t="str">
        <f>IFERROR(INDEX('10 Artikel'!$F:$F,MATCH($A1924,'10 Artikel'!$A:$A,0)),"")</f>
        <v>INNENAUSSTATTUNG</v>
      </c>
      <c r="E1924" s="12" t="str">
        <f>IFERROR(INDEX('10 Artikel'!$G:$G,MATCH($A1924,'10 Artikel'!$A:$A,0)),"")</f>
        <v>BODEN</v>
      </c>
      <c r="F1924" s="13" t="str">
        <f>IFERROR(INDEX('10 Artikel'!$H:$H,MATCH($A1924,'10 Artikel'!$A:$A,0)),"")</f>
        <v>R</v>
      </c>
      <c r="G1924" s="12" t="str">
        <f>IFERROR(INDEX('10 Artikel'!$I:$I,MATCH($A1924,'10 Artikel'!$A:$A,0)),"")</f>
        <v>MATRIX_AUF</v>
      </c>
      <c r="H1924" s="12" t="str">
        <f>IFERROR(INDEX('10 Artikel'!$J:$J,MATCH($A1924,'10 Artikel'!$A:$A,0)),"")</f>
        <v>EUR</v>
      </c>
      <c r="I1924" s="12" t="str">
        <f>IFERROR(INDEX('10 Artikel'!$K:$K,MATCH($A1924,'10 Artikel'!$A:$A,0)),"")</f>
        <v>BREITE</v>
      </c>
      <c r="J1924" s="11" t="s">
        <v>1339</v>
      </c>
      <c r="K1924" s="11" t="s">
        <v>1419</v>
      </c>
      <c r="L1924" s="11" t="s">
        <v>853</v>
      </c>
      <c r="O1924" s="14">
        <v>60</v>
      </c>
      <c r="P1924" s="8" t="s">
        <v>846</v>
      </c>
      <c r="Q1924" s="8">
        <v>14</v>
      </c>
    </row>
    <row r="1925" customFormat="false" ht="15" hidden="false" customHeight="false" outlineLevel="0" collapsed="false">
      <c r="A1925" s="11" t="s">
        <v>658</v>
      </c>
      <c r="B1925" s="12" t="str">
        <f>IFERROR(INDEX('10 Artikel'!$C:$C,MATCH($A1925,'10 Artikel'!$A:$A,0)),"")</f>
        <v>Einlegeboden - fest oder verstellbar</v>
      </c>
      <c r="C1925" s="12" t="str">
        <f>IFERROR(INDEX('10 Artikel'!$E:$E,MATCH($A1925,'10 Artikel'!$A:$A,0)),"")</f>
        <v>AUSSTATTUNG</v>
      </c>
      <c r="D1925" s="12" t="str">
        <f>IFERROR(INDEX('10 Artikel'!$F:$F,MATCH($A1925,'10 Artikel'!$A:$A,0)),"")</f>
        <v>INNENAUSSTATTUNG</v>
      </c>
      <c r="E1925" s="12" t="str">
        <f>IFERROR(INDEX('10 Artikel'!$G:$G,MATCH($A1925,'10 Artikel'!$A:$A,0)),"")</f>
        <v>BODEN</v>
      </c>
      <c r="F1925" s="13" t="str">
        <f>IFERROR(INDEX('10 Artikel'!$H:$H,MATCH($A1925,'10 Artikel'!$A:$A,0)),"")</f>
        <v>R</v>
      </c>
      <c r="G1925" s="12" t="str">
        <f>IFERROR(INDEX('10 Artikel'!$I:$I,MATCH($A1925,'10 Artikel'!$A:$A,0)),"")</f>
        <v>MATRIX_AUF</v>
      </c>
      <c r="H1925" s="12" t="str">
        <f>IFERROR(INDEX('10 Artikel'!$J:$J,MATCH($A1925,'10 Artikel'!$A:$A,0)),"")</f>
        <v>EUR</v>
      </c>
      <c r="I1925" s="12" t="str">
        <f>IFERROR(INDEX('10 Artikel'!$K:$K,MATCH($A1925,'10 Artikel'!$A:$A,0)),"")</f>
        <v>BREITE</v>
      </c>
      <c r="J1925" s="11" t="s">
        <v>1339</v>
      </c>
      <c r="K1925" s="11" t="s">
        <v>1357</v>
      </c>
      <c r="L1925" s="11" t="s">
        <v>851</v>
      </c>
      <c r="O1925" s="14">
        <v>55</v>
      </c>
      <c r="P1925" s="8" t="s">
        <v>846</v>
      </c>
      <c r="Q1925" s="8">
        <v>15</v>
      </c>
    </row>
    <row r="1926" customFormat="false" ht="15" hidden="false" customHeight="false" outlineLevel="0" collapsed="false">
      <c r="A1926" s="11" t="s">
        <v>658</v>
      </c>
      <c r="B1926" s="12" t="str">
        <f>IFERROR(INDEX('10 Artikel'!$C:$C,MATCH($A1926,'10 Artikel'!$A:$A,0)),"")</f>
        <v>Einlegeboden - fest oder verstellbar</v>
      </c>
      <c r="C1926" s="12" t="str">
        <f>IFERROR(INDEX('10 Artikel'!$E:$E,MATCH($A1926,'10 Artikel'!$A:$A,0)),"")</f>
        <v>AUSSTATTUNG</v>
      </c>
      <c r="D1926" s="12" t="str">
        <f>IFERROR(INDEX('10 Artikel'!$F:$F,MATCH($A1926,'10 Artikel'!$A:$A,0)),"")</f>
        <v>INNENAUSSTATTUNG</v>
      </c>
      <c r="E1926" s="12" t="str">
        <f>IFERROR(INDEX('10 Artikel'!$G:$G,MATCH($A1926,'10 Artikel'!$A:$A,0)),"")</f>
        <v>BODEN</v>
      </c>
      <c r="F1926" s="13" t="str">
        <f>IFERROR(INDEX('10 Artikel'!$H:$H,MATCH($A1926,'10 Artikel'!$A:$A,0)),"")</f>
        <v>R</v>
      </c>
      <c r="G1926" s="12" t="str">
        <f>IFERROR(INDEX('10 Artikel'!$I:$I,MATCH($A1926,'10 Artikel'!$A:$A,0)),"")</f>
        <v>MATRIX_AUF</v>
      </c>
      <c r="H1926" s="12" t="str">
        <f>IFERROR(INDEX('10 Artikel'!$J:$J,MATCH($A1926,'10 Artikel'!$A:$A,0)),"")</f>
        <v>EUR</v>
      </c>
      <c r="I1926" s="12" t="str">
        <f>IFERROR(INDEX('10 Artikel'!$K:$K,MATCH($A1926,'10 Artikel'!$A:$A,0)),"")</f>
        <v>BREITE</v>
      </c>
      <c r="J1926" s="11" t="s">
        <v>1339</v>
      </c>
      <c r="K1926" s="11" t="s">
        <v>1357</v>
      </c>
      <c r="L1926" s="11" t="s">
        <v>852</v>
      </c>
      <c r="O1926" s="14">
        <v>60</v>
      </c>
      <c r="P1926" s="8" t="s">
        <v>846</v>
      </c>
      <c r="Q1926" s="8">
        <v>15</v>
      </c>
    </row>
    <row r="1927" customFormat="false" ht="15" hidden="false" customHeight="false" outlineLevel="0" collapsed="false">
      <c r="A1927" s="11" t="s">
        <v>658</v>
      </c>
      <c r="B1927" s="12" t="str">
        <f>IFERROR(INDEX('10 Artikel'!$C:$C,MATCH($A1927,'10 Artikel'!$A:$A,0)),"")</f>
        <v>Einlegeboden - fest oder verstellbar</v>
      </c>
      <c r="C1927" s="12" t="str">
        <f>IFERROR(INDEX('10 Artikel'!$E:$E,MATCH($A1927,'10 Artikel'!$A:$A,0)),"")</f>
        <v>AUSSTATTUNG</v>
      </c>
      <c r="D1927" s="12" t="str">
        <f>IFERROR(INDEX('10 Artikel'!$F:$F,MATCH($A1927,'10 Artikel'!$A:$A,0)),"")</f>
        <v>INNENAUSSTATTUNG</v>
      </c>
      <c r="E1927" s="12" t="str">
        <f>IFERROR(INDEX('10 Artikel'!$G:$G,MATCH($A1927,'10 Artikel'!$A:$A,0)),"")</f>
        <v>BODEN</v>
      </c>
      <c r="F1927" s="13" t="str">
        <f>IFERROR(INDEX('10 Artikel'!$H:$H,MATCH($A1927,'10 Artikel'!$A:$A,0)),"")</f>
        <v>R</v>
      </c>
      <c r="G1927" s="12" t="str">
        <f>IFERROR(INDEX('10 Artikel'!$I:$I,MATCH($A1927,'10 Artikel'!$A:$A,0)),"")</f>
        <v>MATRIX_AUF</v>
      </c>
      <c r="H1927" s="12" t="str">
        <f>IFERROR(INDEX('10 Artikel'!$J:$J,MATCH($A1927,'10 Artikel'!$A:$A,0)),"")</f>
        <v>EUR</v>
      </c>
      <c r="I1927" s="12" t="str">
        <f>IFERROR(INDEX('10 Artikel'!$K:$K,MATCH($A1927,'10 Artikel'!$A:$A,0)),"")</f>
        <v>BREITE</v>
      </c>
      <c r="J1927" s="11" t="s">
        <v>1339</v>
      </c>
      <c r="K1927" s="11" t="s">
        <v>1357</v>
      </c>
      <c r="L1927" s="11" t="s">
        <v>853</v>
      </c>
      <c r="O1927" s="14">
        <v>65</v>
      </c>
      <c r="P1927" s="8" t="s">
        <v>846</v>
      </c>
      <c r="Q1927" s="8">
        <v>15</v>
      </c>
    </row>
    <row r="1928" customFormat="false" ht="15" hidden="false" customHeight="false" outlineLevel="0" collapsed="false">
      <c r="A1928" s="11" t="s">
        <v>658</v>
      </c>
      <c r="B1928" s="12" t="str">
        <f>IFERROR(INDEX('10 Artikel'!$C:$C,MATCH($A1928,'10 Artikel'!$A:$A,0)),"")</f>
        <v>Einlegeboden - fest oder verstellbar</v>
      </c>
      <c r="C1928" s="12" t="str">
        <f>IFERROR(INDEX('10 Artikel'!$E:$E,MATCH($A1928,'10 Artikel'!$A:$A,0)),"")</f>
        <v>AUSSTATTUNG</v>
      </c>
      <c r="D1928" s="12" t="str">
        <f>IFERROR(INDEX('10 Artikel'!$F:$F,MATCH($A1928,'10 Artikel'!$A:$A,0)),"")</f>
        <v>INNENAUSSTATTUNG</v>
      </c>
      <c r="E1928" s="12" t="str">
        <f>IFERROR(INDEX('10 Artikel'!$G:$G,MATCH($A1928,'10 Artikel'!$A:$A,0)),"")</f>
        <v>BODEN</v>
      </c>
      <c r="F1928" s="13" t="str">
        <f>IFERROR(INDEX('10 Artikel'!$H:$H,MATCH($A1928,'10 Artikel'!$A:$A,0)),"")</f>
        <v>R</v>
      </c>
      <c r="G1928" s="12" t="str">
        <f>IFERROR(INDEX('10 Artikel'!$I:$I,MATCH($A1928,'10 Artikel'!$A:$A,0)),"")</f>
        <v>MATRIX_AUF</v>
      </c>
      <c r="H1928" s="12" t="str">
        <f>IFERROR(INDEX('10 Artikel'!$J:$J,MATCH($A1928,'10 Artikel'!$A:$A,0)),"")</f>
        <v>EUR</v>
      </c>
      <c r="I1928" s="12" t="str">
        <f>IFERROR(INDEX('10 Artikel'!$K:$K,MATCH($A1928,'10 Artikel'!$A:$A,0)),"")</f>
        <v>BREITE</v>
      </c>
      <c r="J1928" s="11" t="s">
        <v>1340</v>
      </c>
      <c r="K1928" s="11" t="s">
        <v>1390</v>
      </c>
      <c r="L1928" s="11" t="s">
        <v>850</v>
      </c>
      <c r="O1928" s="14">
        <v>55</v>
      </c>
      <c r="P1928" s="8" t="s">
        <v>846</v>
      </c>
      <c r="Q1928" s="8">
        <v>26</v>
      </c>
    </row>
    <row r="1929" customFormat="false" ht="15" hidden="false" customHeight="false" outlineLevel="0" collapsed="false">
      <c r="A1929" s="11" t="s">
        <v>658</v>
      </c>
      <c r="B1929" s="12" t="str">
        <f>IFERROR(INDEX('10 Artikel'!$C:$C,MATCH($A1929,'10 Artikel'!$A:$A,0)),"")</f>
        <v>Einlegeboden - fest oder verstellbar</v>
      </c>
      <c r="C1929" s="12" t="str">
        <f>IFERROR(INDEX('10 Artikel'!$E:$E,MATCH($A1929,'10 Artikel'!$A:$A,0)),"")</f>
        <v>AUSSTATTUNG</v>
      </c>
      <c r="D1929" s="12" t="str">
        <f>IFERROR(INDEX('10 Artikel'!$F:$F,MATCH($A1929,'10 Artikel'!$A:$A,0)),"")</f>
        <v>INNENAUSSTATTUNG</v>
      </c>
      <c r="E1929" s="12" t="str">
        <f>IFERROR(INDEX('10 Artikel'!$G:$G,MATCH($A1929,'10 Artikel'!$A:$A,0)),"")</f>
        <v>BODEN</v>
      </c>
      <c r="F1929" s="13" t="str">
        <f>IFERROR(INDEX('10 Artikel'!$H:$H,MATCH($A1929,'10 Artikel'!$A:$A,0)),"")</f>
        <v>R</v>
      </c>
      <c r="G1929" s="12" t="str">
        <f>IFERROR(INDEX('10 Artikel'!$I:$I,MATCH($A1929,'10 Artikel'!$A:$A,0)),"")</f>
        <v>MATRIX_AUF</v>
      </c>
      <c r="H1929" s="12" t="str">
        <f>IFERROR(INDEX('10 Artikel'!$J:$J,MATCH($A1929,'10 Artikel'!$A:$A,0)),"")</f>
        <v>EUR</v>
      </c>
      <c r="I1929" s="12" t="str">
        <f>IFERROR(INDEX('10 Artikel'!$K:$K,MATCH($A1929,'10 Artikel'!$A:$A,0)),"")</f>
        <v>BREITE</v>
      </c>
      <c r="J1929" s="11" t="s">
        <v>1340</v>
      </c>
      <c r="K1929" s="11" t="s">
        <v>1390</v>
      </c>
      <c r="L1929" s="11" t="s">
        <v>851</v>
      </c>
      <c r="O1929" s="14">
        <v>55</v>
      </c>
      <c r="P1929" s="8" t="s">
        <v>846</v>
      </c>
      <c r="Q1929" s="8">
        <v>13</v>
      </c>
    </row>
    <row r="1930" customFormat="false" ht="15" hidden="false" customHeight="false" outlineLevel="0" collapsed="false">
      <c r="A1930" s="11" t="s">
        <v>658</v>
      </c>
      <c r="B1930" s="12" t="str">
        <f>IFERROR(INDEX('10 Artikel'!$C:$C,MATCH($A1930,'10 Artikel'!$A:$A,0)),"")</f>
        <v>Einlegeboden - fest oder verstellbar</v>
      </c>
      <c r="C1930" s="12" t="str">
        <f>IFERROR(INDEX('10 Artikel'!$E:$E,MATCH($A1930,'10 Artikel'!$A:$A,0)),"")</f>
        <v>AUSSTATTUNG</v>
      </c>
      <c r="D1930" s="12" t="str">
        <f>IFERROR(INDEX('10 Artikel'!$F:$F,MATCH($A1930,'10 Artikel'!$A:$A,0)),"")</f>
        <v>INNENAUSSTATTUNG</v>
      </c>
      <c r="E1930" s="12" t="str">
        <f>IFERROR(INDEX('10 Artikel'!$G:$G,MATCH($A1930,'10 Artikel'!$A:$A,0)),"")</f>
        <v>BODEN</v>
      </c>
      <c r="F1930" s="13" t="str">
        <f>IFERROR(INDEX('10 Artikel'!$H:$H,MATCH($A1930,'10 Artikel'!$A:$A,0)),"")</f>
        <v>R</v>
      </c>
      <c r="G1930" s="12" t="str">
        <f>IFERROR(INDEX('10 Artikel'!$I:$I,MATCH($A1930,'10 Artikel'!$A:$A,0)),"")</f>
        <v>MATRIX_AUF</v>
      </c>
      <c r="H1930" s="12" t="str">
        <f>IFERROR(INDEX('10 Artikel'!$J:$J,MATCH($A1930,'10 Artikel'!$A:$A,0)),"")</f>
        <v>EUR</v>
      </c>
      <c r="I1930" s="12" t="str">
        <f>IFERROR(INDEX('10 Artikel'!$K:$K,MATCH($A1930,'10 Artikel'!$A:$A,0)),"")</f>
        <v>BREITE</v>
      </c>
      <c r="J1930" s="11" t="s">
        <v>1340</v>
      </c>
      <c r="K1930" s="11" t="s">
        <v>1390</v>
      </c>
      <c r="L1930" s="11" t="s">
        <v>852</v>
      </c>
      <c r="O1930" s="14">
        <v>60</v>
      </c>
      <c r="P1930" s="8" t="s">
        <v>846</v>
      </c>
      <c r="Q1930" s="8">
        <v>13</v>
      </c>
    </row>
    <row r="1931" customFormat="false" ht="15" hidden="false" customHeight="false" outlineLevel="0" collapsed="false">
      <c r="A1931" s="11" t="s">
        <v>658</v>
      </c>
      <c r="B1931" s="12" t="str">
        <f>IFERROR(INDEX('10 Artikel'!$C:$C,MATCH($A1931,'10 Artikel'!$A:$A,0)),"")</f>
        <v>Einlegeboden - fest oder verstellbar</v>
      </c>
      <c r="C1931" s="12" t="str">
        <f>IFERROR(INDEX('10 Artikel'!$E:$E,MATCH($A1931,'10 Artikel'!$A:$A,0)),"")</f>
        <v>AUSSTATTUNG</v>
      </c>
      <c r="D1931" s="12" t="str">
        <f>IFERROR(INDEX('10 Artikel'!$F:$F,MATCH($A1931,'10 Artikel'!$A:$A,0)),"")</f>
        <v>INNENAUSSTATTUNG</v>
      </c>
      <c r="E1931" s="12" t="str">
        <f>IFERROR(INDEX('10 Artikel'!$G:$G,MATCH($A1931,'10 Artikel'!$A:$A,0)),"")</f>
        <v>BODEN</v>
      </c>
      <c r="F1931" s="13" t="str">
        <f>IFERROR(INDEX('10 Artikel'!$H:$H,MATCH($A1931,'10 Artikel'!$A:$A,0)),"")</f>
        <v>R</v>
      </c>
      <c r="G1931" s="12" t="str">
        <f>IFERROR(INDEX('10 Artikel'!$I:$I,MATCH($A1931,'10 Artikel'!$A:$A,0)),"")</f>
        <v>MATRIX_AUF</v>
      </c>
      <c r="H1931" s="12" t="str">
        <f>IFERROR(INDEX('10 Artikel'!$J:$J,MATCH($A1931,'10 Artikel'!$A:$A,0)),"")</f>
        <v>EUR</v>
      </c>
      <c r="I1931" s="12" t="str">
        <f>IFERROR(INDEX('10 Artikel'!$K:$K,MATCH($A1931,'10 Artikel'!$A:$A,0)),"")</f>
        <v>BREITE</v>
      </c>
      <c r="J1931" s="11" t="s">
        <v>1340</v>
      </c>
      <c r="K1931" s="11" t="s">
        <v>1390</v>
      </c>
      <c r="L1931" s="11" t="s">
        <v>853</v>
      </c>
      <c r="O1931" s="14">
        <v>65</v>
      </c>
      <c r="P1931" s="8" t="s">
        <v>846</v>
      </c>
      <c r="Q1931" s="8">
        <v>13</v>
      </c>
    </row>
    <row r="1932" customFormat="false" ht="15" hidden="false" customHeight="false" outlineLevel="0" collapsed="false">
      <c r="A1932" s="11" t="s">
        <v>658</v>
      </c>
      <c r="B1932" s="12" t="str">
        <f>IFERROR(INDEX('10 Artikel'!$C:$C,MATCH($A1932,'10 Artikel'!$A:$A,0)),"")</f>
        <v>Einlegeboden - fest oder verstellbar</v>
      </c>
      <c r="C1932" s="12" t="str">
        <f>IFERROR(INDEX('10 Artikel'!$E:$E,MATCH($A1932,'10 Artikel'!$A:$A,0)),"")</f>
        <v>AUSSTATTUNG</v>
      </c>
      <c r="D1932" s="12" t="str">
        <f>IFERROR(INDEX('10 Artikel'!$F:$F,MATCH($A1932,'10 Artikel'!$A:$A,0)),"")</f>
        <v>INNENAUSSTATTUNG</v>
      </c>
      <c r="E1932" s="12" t="str">
        <f>IFERROR(INDEX('10 Artikel'!$G:$G,MATCH($A1932,'10 Artikel'!$A:$A,0)),"")</f>
        <v>BODEN</v>
      </c>
      <c r="F1932" s="13" t="str">
        <f>IFERROR(INDEX('10 Artikel'!$H:$H,MATCH($A1932,'10 Artikel'!$A:$A,0)),"")</f>
        <v>R</v>
      </c>
      <c r="G1932" s="12" t="str">
        <f>IFERROR(INDEX('10 Artikel'!$I:$I,MATCH($A1932,'10 Artikel'!$A:$A,0)),"")</f>
        <v>MATRIX_AUF</v>
      </c>
      <c r="H1932" s="12" t="str">
        <f>IFERROR(INDEX('10 Artikel'!$J:$J,MATCH($A1932,'10 Artikel'!$A:$A,0)),"")</f>
        <v>EUR</v>
      </c>
      <c r="I1932" s="12" t="str">
        <f>IFERROR(INDEX('10 Artikel'!$K:$K,MATCH($A1932,'10 Artikel'!$A:$A,0)),"")</f>
        <v>BREITE</v>
      </c>
      <c r="J1932" s="11" t="s">
        <v>1340</v>
      </c>
      <c r="K1932" s="11" t="s">
        <v>1419</v>
      </c>
      <c r="L1932" s="11" t="s">
        <v>850</v>
      </c>
      <c r="O1932" s="14">
        <v>55</v>
      </c>
      <c r="P1932" s="8" t="s">
        <v>846</v>
      </c>
      <c r="Q1932" s="8">
        <v>26</v>
      </c>
    </row>
    <row r="1933" customFormat="false" ht="15" hidden="false" customHeight="false" outlineLevel="0" collapsed="false">
      <c r="A1933" s="11" t="s">
        <v>658</v>
      </c>
      <c r="B1933" s="12" t="str">
        <f>IFERROR(INDEX('10 Artikel'!$C:$C,MATCH($A1933,'10 Artikel'!$A:$A,0)),"")</f>
        <v>Einlegeboden - fest oder verstellbar</v>
      </c>
      <c r="C1933" s="12" t="str">
        <f>IFERROR(INDEX('10 Artikel'!$E:$E,MATCH($A1933,'10 Artikel'!$A:$A,0)),"")</f>
        <v>AUSSTATTUNG</v>
      </c>
      <c r="D1933" s="12" t="str">
        <f>IFERROR(INDEX('10 Artikel'!$F:$F,MATCH($A1933,'10 Artikel'!$A:$A,0)),"")</f>
        <v>INNENAUSSTATTUNG</v>
      </c>
      <c r="E1933" s="12" t="str">
        <f>IFERROR(INDEX('10 Artikel'!$G:$G,MATCH($A1933,'10 Artikel'!$A:$A,0)),"")</f>
        <v>BODEN</v>
      </c>
      <c r="F1933" s="13" t="str">
        <f>IFERROR(INDEX('10 Artikel'!$H:$H,MATCH($A1933,'10 Artikel'!$A:$A,0)),"")</f>
        <v>R</v>
      </c>
      <c r="G1933" s="12" t="str">
        <f>IFERROR(INDEX('10 Artikel'!$I:$I,MATCH($A1933,'10 Artikel'!$A:$A,0)),"")</f>
        <v>MATRIX_AUF</v>
      </c>
      <c r="H1933" s="12" t="str">
        <f>IFERROR(INDEX('10 Artikel'!$J:$J,MATCH($A1933,'10 Artikel'!$A:$A,0)),"")</f>
        <v>EUR</v>
      </c>
      <c r="I1933" s="12" t="str">
        <f>IFERROR(INDEX('10 Artikel'!$K:$K,MATCH($A1933,'10 Artikel'!$A:$A,0)),"")</f>
        <v>BREITE</v>
      </c>
      <c r="J1933" s="11" t="s">
        <v>1340</v>
      </c>
      <c r="K1933" s="11" t="s">
        <v>1419</v>
      </c>
      <c r="L1933" s="11" t="s">
        <v>851</v>
      </c>
      <c r="O1933" s="14">
        <v>60</v>
      </c>
      <c r="P1933" s="8" t="s">
        <v>846</v>
      </c>
      <c r="Q1933" s="8">
        <v>14</v>
      </c>
    </row>
    <row r="1934" customFormat="false" ht="15" hidden="false" customHeight="false" outlineLevel="0" collapsed="false">
      <c r="A1934" s="11" t="s">
        <v>658</v>
      </c>
      <c r="B1934" s="12" t="str">
        <f>IFERROR(INDEX('10 Artikel'!$C:$C,MATCH($A1934,'10 Artikel'!$A:$A,0)),"")</f>
        <v>Einlegeboden - fest oder verstellbar</v>
      </c>
      <c r="C1934" s="12" t="str">
        <f>IFERROR(INDEX('10 Artikel'!$E:$E,MATCH($A1934,'10 Artikel'!$A:$A,0)),"")</f>
        <v>AUSSTATTUNG</v>
      </c>
      <c r="D1934" s="12" t="str">
        <f>IFERROR(INDEX('10 Artikel'!$F:$F,MATCH($A1934,'10 Artikel'!$A:$A,0)),"")</f>
        <v>INNENAUSSTATTUNG</v>
      </c>
      <c r="E1934" s="12" t="str">
        <f>IFERROR(INDEX('10 Artikel'!$G:$G,MATCH($A1934,'10 Artikel'!$A:$A,0)),"")</f>
        <v>BODEN</v>
      </c>
      <c r="F1934" s="13" t="str">
        <f>IFERROR(INDEX('10 Artikel'!$H:$H,MATCH($A1934,'10 Artikel'!$A:$A,0)),"")</f>
        <v>R</v>
      </c>
      <c r="G1934" s="12" t="str">
        <f>IFERROR(INDEX('10 Artikel'!$I:$I,MATCH($A1934,'10 Artikel'!$A:$A,0)),"")</f>
        <v>MATRIX_AUF</v>
      </c>
      <c r="H1934" s="12" t="str">
        <f>IFERROR(INDEX('10 Artikel'!$J:$J,MATCH($A1934,'10 Artikel'!$A:$A,0)),"")</f>
        <v>EUR</v>
      </c>
      <c r="I1934" s="12" t="str">
        <f>IFERROR(INDEX('10 Artikel'!$K:$K,MATCH($A1934,'10 Artikel'!$A:$A,0)),"")</f>
        <v>BREITE</v>
      </c>
      <c r="J1934" s="11" t="s">
        <v>1340</v>
      </c>
      <c r="K1934" s="11" t="s">
        <v>1419</v>
      </c>
      <c r="L1934" s="11" t="s">
        <v>852</v>
      </c>
      <c r="O1934" s="14">
        <v>65</v>
      </c>
      <c r="P1934" s="8" t="s">
        <v>846</v>
      </c>
      <c r="Q1934" s="8">
        <v>14</v>
      </c>
    </row>
    <row r="1935" customFormat="false" ht="15" hidden="false" customHeight="false" outlineLevel="0" collapsed="false">
      <c r="A1935" s="11" t="s">
        <v>658</v>
      </c>
      <c r="B1935" s="12" t="str">
        <f>IFERROR(INDEX('10 Artikel'!$C:$C,MATCH($A1935,'10 Artikel'!$A:$A,0)),"")</f>
        <v>Einlegeboden - fest oder verstellbar</v>
      </c>
      <c r="C1935" s="12" t="str">
        <f>IFERROR(INDEX('10 Artikel'!$E:$E,MATCH($A1935,'10 Artikel'!$A:$A,0)),"")</f>
        <v>AUSSTATTUNG</v>
      </c>
      <c r="D1935" s="12" t="str">
        <f>IFERROR(INDEX('10 Artikel'!$F:$F,MATCH($A1935,'10 Artikel'!$A:$A,0)),"")</f>
        <v>INNENAUSSTATTUNG</v>
      </c>
      <c r="E1935" s="12" t="str">
        <f>IFERROR(INDEX('10 Artikel'!$G:$G,MATCH($A1935,'10 Artikel'!$A:$A,0)),"")</f>
        <v>BODEN</v>
      </c>
      <c r="F1935" s="13" t="str">
        <f>IFERROR(INDEX('10 Artikel'!$H:$H,MATCH($A1935,'10 Artikel'!$A:$A,0)),"")</f>
        <v>R</v>
      </c>
      <c r="G1935" s="12" t="str">
        <f>IFERROR(INDEX('10 Artikel'!$I:$I,MATCH($A1935,'10 Artikel'!$A:$A,0)),"")</f>
        <v>MATRIX_AUF</v>
      </c>
      <c r="H1935" s="12" t="str">
        <f>IFERROR(INDEX('10 Artikel'!$J:$J,MATCH($A1935,'10 Artikel'!$A:$A,0)),"")</f>
        <v>EUR</v>
      </c>
      <c r="I1935" s="12" t="str">
        <f>IFERROR(INDEX('10 Artikel'!$K:$K,MATCH($A1935,'10 Artikel'!$A:$A,0)),"")</f>
        <v>BREITE</v>
      </c>
      <c r="J1935" s="11" t="s">
        <v>1340</v>
      </c>
      <c r="K1935" s="11" t="s">
        <v>1419</v>
      </c>
      <c r="L1935" s="11" t="s">
        <v>853</v>
      </c>
      <c r="O1935" s="14">
        <v>70</v>
      </c>
      <c r="P1935" s="8" t="s">
        <v>846</v>
      </c>
      <c r="Q1935" s="8">
        <v>14</v>
      </c>
    </row>
    <row r="1936" customFormat="false" ht="15" hidden="false" customHeight="false" outlineLevel="0" collapsed="false">
      <c r="A1936" s="11" t="s">
        <v>658</v>
      </c>
      <c r="B1936" s="12" t="str">
        <f>IFERROR(INDEX('10 Artikel'!$C:$C,MATCH($A1936,'10 Artikel'!$A:$A,0)),"")</f>
        <v>Einlegeboden - fest oder verstellbar</v>
      </c>
      <c r="C1936" s="12" t="str">
        <f>IFERROR(INDEX('10 Artikel'!$E:$E,MATCH($A1936,'10 Artikel'!$A:$A,0)),"")</f>
        <v>AUSSTATTUNG</v>
      </c>
      <c r="D1936" s="12" t="str">
        <f>IFERROR(INDEX('10 Artikel'!$F:$F,MATCH($A1936,'10 Artikel'!$A:$A,0)),"")</f>
        <v>INNENAUSSTATTUNG</v>
      </c>
      <c r="E1936" s="12" t="str">
        <f>IFERROR(INDEX('10 Artikel'!$G:$G,MATCH($A1936,'10 Artikel'!$A:$A,0)),"")</f>
        <v>BODEN</v>
      </c>
      <c r="F1936" s="13" t="str">
        <f>IFERROR(INDEX('10 Artikel'!$H:$H,MATCH($A1936,'10 Artikel'!$A:$A,0)),"")</f>
        <v>R</v>
      </c>
      <c r="G1936" s="12" t="str">
        <f>IFERROR(INDEX('10 Artikel'!$I:$I,MATCH($A1936,'10 Artikel'!$A:$A,0)),"")</f>
        <v>MATRIX_AUF</v>
      </c>
      <c r="H1936" s="12" t="str">
        <f>IFERROR(INDEX('10 Artikel'!$J:$J,MATCH($A1936,'10 Artikel'!$A:$A,0)),"")</f>
        <v>EUR</v>
      </c>
      <c r="I1936" s="12" t="str">
        <f>IFERROR(INDEX('10 Artikel'!$K:$K,MATCH($A1936,'10 Artikel'!$A:$A,0)),"")</f>
        <v>BREITE</v>
      </c>
      <c r="J1936" s="11" t="s">
        <v>1340</v>
      </c>
      <c r="K1936" s="11" t="s">
        <v>1357</v>
      </c>
      <c r="L1936" s="11" t="s">
        <v>851</v>
      </c>
      <c r="O1936" s="14">
        <v>65</v>
      </c>
      <c r="P1936" s="8" t="s">
        <v>846</v>
      </c>
      <c r="Q1936" s="8">
        <v>15</v>
      </c>
    </row>
    <row r="1937" customFormat="false" ht="15" hidden="false" customHeight="false" outlineLevel="0" collapsed="false">
      <c r="A1937" s="11" t="s">
        <v>658</v>
      </c>
      <c r="B1937" s="12" t="str">
        <f>IFERROR(INDEX('10 Artikel'!$C:$C,MATCH($A1937,'10 Artikel'!$A:$A,0)),"")</f>
        <v>Einlegeboden - fest oder verstellbar</v>
      </c>
      <c r="C1937" s="12" t="str">
        <f>IFERROR(INDEX('10 Artikel'!$E:$E,MATCH($A1937,'10 Artikel'!$A:$A,0)),"")</f>
        <v>AUSSTATTUNG</v>
      </c>
      <c r="D1937" s="12" t="str">
        <f>IFERROR(INDEX('10 Artikel'!$F:$F,MATCH($A1937,'10 Artikel'!$A:$A,0)),"")</f>
        <v>INNENAUSSTATTUNG</v>
      </c>
      <c r="E1937" s="12" t="str">
        <f>IFERROR(INDEX('10 Artikel'!$G:$G,MATCH($A1937,'10 Artikel'!$A:$A,0)),"")</f>
        <v>BODEN</v>
      </c>
      <c r="F1937" s="13" t="str">
        <f>IFERROR(INDEX('10 Artikel'!$H:$H,MATCH($A1937,'10 Artikel'!$A:$A,0)),"")</f>
        <v>R</v>
      </c>
      <c r="G1937" s="12" t="str">
        <f>IFERROR(INDEX('10 Artikel'!$I:$I,MATCH($A1937,'10 Artikel'!$A:$A,0)),"")</f>
        <v>MATRIX_AUF</v>
      </c>
      <c r="H1937" s="12" t="str">
        <f>IFERROR(INDEX('10 Artikel'!$J:$J,MATCH($A1937,'10 Artikel'!$A:$A,0)),"")</f>
        <v>EUR</v>
      </c>
      <c r="I1937" s="12" t="str">
        <f>IFERROR(INDEX('10 Artikel'!$K:$K,MATCH($A1937,'10 Artikel'!$A:$A,0)),"")</f>
        <v>BREITE</v>
      </c>
      <c r="J1937" s="11" t="s">
        <v>1340</v>
      </c>
      <c r="K1937" s="11" t="s">
        <v>1357</v>
      </c>
      <c r="L1937" s="11" t="s">
        <v>852</v>
      </c>
      <c r="O1937" s="14">
        <v>70</v>
      </c>
      <c r="P1937" s="8" t="s">
        <v>846</v>
      </c>
      <c r="Q1937" s="8">
        <v>15</v>
      </c>
    </row>
    <row r="1938" customFormat="false" ht="15" hidden="false" customHeight="false" outlineLevel="0" collapsed="false">
      <c r="A1938" s="11" t="s">
        <v>658</v>
      </c>
      <c r="B1938" s="12" t="str">
        <f>IFERROR(INDEX('10 Artikel'!$C:$C,MATCH($A1938,'10 Artikel'!$A:$A,0)),"")</f>
        <v>Einlegeboden - fest oder verstellbar</v>
      </c>
      <c r="C1938" s="12" t="str">
        <f>IFERROR(INDEX('10 Artikel'!$E:$E,MATCH($A1938,'10 Artikel'!$A:$A,0)),"")</f>
        <v>AUSSTATTUNG</v>
      </c>
      <c r="D1938" s="12" t="str">
        <f>IFERROR(INDEX('10 Artikel'!$F:$F,MATCH($A1938,'10 Artikel'!$A:$A,0)),"")</f>
        <v>INNENAUSSTATTUNG</v>
      </c>
      <c r="E1938" s="12" t="str">
        <f>IFERROR(INDEX('10 Artikel'!$G:$G,MATCH($A1938,'10 Artikel'!$A:$A,0)),"")</f>
        <v>BODEN</v>
      </c>
      <c r="F1938" s="13" t="str">
        <f>IFERROR(INDEX('10 Artikel'!$H:$H,MATCH($A1938,'10 Artikel'!$A:$A,0)),"")</f>
        <v>R</v>
      </c>
      <c r="G1938" s="12" t="str">
        <f>IFERROR(INDEX('10 Artikel'!$I:$I,MATCH($A1938,'10 Artikel'!$A:$A,0)),"")</f>
        <v>MATRIX_AUF</v>
      </c>
      <c r="H1938" s="12" t="str">
        <f>IFERROR(INDEX('10 Artikel'!$J:$J,MATCH($A1938,'10 Artikel'!$A:$A,0)),"")</f>
        <v>EUR</v>
      </c>
      <c r="I1938" s="12" t="str">
        <f>IFERROR(INDEX('10 Artikel'!$K:$K,MATCH($A1938,'10 Artikel'!$A:$A,0)),"")</f>
        <v>BREITE</v>
      </c>
      <c r="J1938" s="11" t="s">
        <v>1340</v>
      </c>
      <c r="K1938" s="11" t="s">
        <v>1357</v>
      </c>
      <c r="L1938" s="11" t="s">
        <v>853</v>
      </c>
      <c r="O1938" s="14">
        <v>75</v>
      </c>
      <c r="P1938" s="8" t="s">
        <v>846</v>
      </c>
      <c r="Q1938" s="8">
        <v>15</v>
      </c>
    </row>
    <row r="1939" customFormat="false" ht="15" hidden="false" customHeight="false" outlineLevel="0" collapsed="false">
      <c r="A1939" s="11" t="s">
        <v>411</v>
      </c>
      <c r="B1939" s="12" t="str">
        <f>IFERROR(INDEX('10 Artikel'!$C:$C,MATCH($A1939,'10 Artikel'!$A:$A,0)),"")</f>
        <v>Drehtür</v>
      </c>
      <c r="C1939" s="12" t="str">
        <f>IFERROR(INDEX('10 Artikel'!$E:$E,MATCH($A1939,'10 Artikel'!$A:$A,0)),"")</f>
        <v>FRONT</v>
      </c>
      <c r="D1939" s="12" t="str">
        <f>IFERROR(INDEX('10 Artikel'!$F:$F,MATCH($A1939,'10 Artikel'!$A:$A,0)),"")</f>
        <v>FRONT</v>
      </c>
      <c r="E1939" s="12" t="str">
        <f>IFERROR(INDEX('10 Artikel'!$G:$G,MATCH($A1939,'10 Artikel'!$A:$A,0)),"")</f>
        <v>DREHTUER</v>
      </c>
      <c r="F1939" s="13" t="str">
        <f>IFERROR(INDEX('10 Artikel'!$H:$H,MATCH($A1939,'10 Artikel'!$A:$A,0)),"")</f>
        <v>AVPRO</v>
      </c>
      <c r="G1939" s="12" t="str">
        <f>IFERROR(INDEX('10 Artikel'!$I:$I,MATCH($A1939,'10 Artikel'!$A:$A,0)),"")</f>
        <v>MATRIX_AUF</v>
      </c>
      <c r="H1939" s="12" t="str">
        <f>IFERROR(INDEX('10 Artikel'!$J:$J,MATCH($A1939,'10 Artikel'!$A:$A,0)),"")</f>
        <v>Stück</v>
      </c>
      <c r="I1939" s="12" t="str">
        <f>IFERROR(INDEX('10 Artikel'!$K:$K,MATCH($A1939,'10 Artikel'!$A:$A,0)),"")</f>
        <v>BREITE × RASTER × LINIE_PG</v>
      </c>
      <c r="J1939" s="11" t="s">
        <v>1338</v>
      </c>
      <c r="K1939" s="11" t="s">
        <v>1334</v>
      </c>
      <c r="L1939" s="11" t="s">
        <v>880</v>
      </c>
      <c r="O1939" s="14">
        <v>312</v>
      </c>
      <c r="P1939" s="8" t="s">
        <v>846</v>
      </c>
      <c r="Q1939" s="8">
        <v>7</v>
      </c>
    </row>
    <row r="1940" customFormat="false" ht="15" hidden="false" customHeight="false" outlineLevel="0" collapsed="false">
      <c r="A1940" s="11" t="s">
        <v>411</v>
      </c>
      <c r="B1940" s="12" t="str">
        <f>IFERROR(INDEX('10 Artikel'!$C:$C,MATCH($A1940,'10 Artikel'!$A:$A,0)),"")</f>
        <v>Drehtür</v>
      </c>
      <c r="C1940" s="12" t="str">
        <f>IFERROR(INDEX('10 Artikel'!$E:$E,MATCH($A1940,'10 Artikel'!$A:$A,0)),"")</f>
        <v>FRONT</v>
      </c>
      <c r="D1940" s="12" t="str">
        <f>IFERROR(INDEX('10 Artikel'!$F:$F,MATCH($A1940,'10 Artikel'!$A:$A,0)),"")</f>
        <v>FRONT</v>
      </c>
      <c r="E1940" s="12" t="str">
        <f>IFERROR(INDEX('10 Artikel'!$G:$G,MATCH($A1940,'10 Artikel'!$A:$A,0)),"")</f>
        <v>DREHTUER</v>
      </c>
      <c r="F1940" s="13" t="str">
        <f>IFERROR(INDEX('10 Artikel'!$H:$H,MATCH($A1940,'10 Artikel'!$A:$A,0)),"")</f>
        <v>AVPRO</v>
      </c>
      <c r="G1940" s="12" t="str">
        <f>IFERROR(INDEX('10 Artikel'!$I:$I,MATCH($A1940,'10 Artikel'!$A:$A,0)),"")</f>
        <v>MATRIX_AUF</v>
      </c>
      <c r="H1940" s="12" t="str">
        <f>IFERROR(INDEX('10 Artikel'!$J:$J,MATCH($A1940,'10 Artikel'!$A:$A,0)),"")</f>
        <v>Stück</v>
      </c>
      <c r="I1940" s="12" t="str">
        <f>IFERROR(INDEX('10 Artikel'!$K:$K,MATCH($A1940,'10 Artikel'!$A:$A,0)),"")</f>
        <v>BREITE × RASTER × LINIE_PG</v>
      </c>
      <c r="J1940" s="11" t="s">
        <v>1338</v>
      </c>
      <c r="K1940" s="11" t="s">
        <v>1334</v>
      </c>
      <c r="L1940" s="11" t="s">
        <v>882</v>
      </c>
      <c r="O1940" s="14">
        <v>370.8</v>
      </c>
      <c r="P1940" s="8" t="s">
        <v>846</v>
      </c>
      <c r="Q1940" s="8">
        <v>7</v>
      </c>
    </row>
    <row r="1941" customFormat="false" ht="15" hidden="false" customHeight="false" outlineLevel="0" collapsed="false">
      <c r="A1941" s="11" t="s">
        <v>411</v>
      </c>
      <c r="B1941" s="12" t="str">
        <f>IFERROR(INDEX('10 Artikel'!$C:$C,MATCH($A1941,'10 Artikel'!$A:$A,0)),"")</f>
        <v>Drehtür</v>
      </c>
      <c r="C1941" s="12" t="str">
        <f>IFERROR(INDEX('10 Artikel'!$E:$E,MATCH($A1941,'10 Artikel'!$A:$A,0)),"")</f>
        <v>FRONT</v>
      </c>
      <c r="D1941" s="12" t="str">
        <f>IFERROR(INDEX('10 Artikel'!$F:$F,MATCH($A1941,'10 Artikel'!$A:$A,0)),"")</f>
        <v>FRONT</v>
      </c>
      <c r="E1941" s="12" t="str">
        <f>IFERROR(INDEX('10 Artikel'!$G:$G,MATCH($A1941,'10 Artikel'!$A:$A,0)),"")</f>
        <v>DREHTUER</v>
      </c>
      <c r="F1941" s="13" t="str">
        <f>IFERROR(INDEX('10 Artikel'!$H:$H,MATCH($A1941,'10 Artikel'!$A:$A,0)),"")</f>
        <v>AVPRO</v>
      </c>
      <c r="G1941" s="12" t="str">
        <f>IFERROR(INDEX('10 Artikel'!$I:$I,MATCH($A1941,'10 Artikel'!$A:$A,0)),"")</f>
        <v>MATRIX_AUF</v>
      </c>
      <c r="H1941" s="12" t="str">
        <f>IFERROR(INDEX('10 Artikel'!$J:$J,MATCH($A1941,'10 Artikel'!$A:$A,0)),"")</f>
        <v>Stück</v>
      </c>
      <c r="I1941" s="12" t="str">
        <f>IFERROR(INDEX('10 Artikel'!$K:$K,MATCH($A1941,'10 Artikel'!$A:$A,0)),"")</f>
        <v>BREITE × RASTER × LINIE_PG</v>
      </c>
      <c r="J1941" s="11" t="s">
        <v>1338</v>
      </c>
      <c r="K1941" s="11" t="s">
        <v>1334</v>
      </c>
      <c r="L1941" s="11" t="s">
        <v>883</v>
      </c>
      <c r="O1941" s="14">
        <v>430.8</v>
      </c>
      <c r="P1941" s="8" t="s">
        <v>846</v>
      </c>
      <c r="Q1941" s="8">
        <v>7</v>
      </c>
    </row>
    <row r="1942" customFormat="false" ht="15" hidden="false" customHeight="false" outlineLevel="0" collapsed="false">
      <c r="A1942" s="11" t="s">
        <v>411</v>
      </c>
      <c r="B1942" s="12" t="str">
        <f>IFERROR(INDEX('10 Artikel'!$C:$C,MATCH($A1942,'10 Artikel'!$A:$A,0)),"")</f>
        <v>Drehtür</v>
      </c>
      <c r="C1942" s="12" t="str">
        <f>IFERROR(INDEX('10 Artikel'!$E:$E,MATCH($A1942,'10 Artikel'!$A:$A,0)),"")</f>
        <v>FRONT</v>
      </c>
      <c r="D1942" s="12" t="str">
        <f>IFERROR(INDEX('10 Artikel'!$F:$F,MATCH($A1942,'10 Artikel'!$A:$A,0)),"")</f>
        <v>FRONT</v>
      </c>
      <c r="E1942" s="12" t="str">
        <f>IFERROR(INDEX('10 Artikel'!$G:$G,MATCH($A1942,'10 Artikel'!$A:$A,0)),"")</f>
        <v>DREHTUER</v>
      </c>
      <c r="F1942" s="13" t="str">
        <f>IFERROR(INDEX('10 Artikel'!$H:$H,MATCH($A1942,'10 Artikel'!$A:$A,0)),"")</f>
        <v>AVPRO</v>
      </c>
      <c r="G1942" s="12" t="str">
        <f>IFERROR(INDEX('10 Artikel'!$I:$I,MATCH($A1942,'10 Artikel'!$A:$A,0)),"")</f>
        <v>MATRIX_AUF</v>
      </c>
      <c r="H1942" s="12" t="str">
        <f>IFERROR(INDEX('10 Artikel'!$J:$J,MATCH($A1942,'10 Artikel'!$A:$A,0)),"")</f>
        <v>Stück</v>
      </c>
      <c r="I1942" s="12" t="str">
        <f>IFERROR(INDEX('10 Artikel'!$K:$K,MATCH($A1942,'10 Artikel'!$A:$A,0)),"")</f>
        <v>BREITE × RASTER × LINIE_PG</v>
      </c>
      <c r="J1942" s="11" t="s">
        <v>1338</v>
      </c>
      <c r="K1942" s="11" t="s">
        <v>1334</v>
      </c>
      <c r="L1942" s="11" t="s">
        <v>884</v>
      </c>
      <c r="O1942" s="14">
        <v>531.6</v>
      </c>
      <c r="P1942" s="8" t="s">
        <v>846</v>
      </c>
      <c r="Q1942" s="8">
        <v>7</v>
      </c>
    </row>
    <row r="1943" customFormat="false" ht="15" hidden="false" customHeight="false" outlineLevel="0" collapsed="false">
      <c r="A1943" s="11" t="s">
        <v>411</v>
      </c>
      <c r="B1943" s="12" t="str">
        <f>IFERROR(INDEX('10 Artikel'!$C:$C,MATCH($A1943,'10 Artikel'!$A:$A,0)),"")</f>
        <v>Drehtür</v>
      </c>
      <c r="C1943" s="12" t="str">
        <f>IFERROR(INDEX('10 Artikel'!$E:$E,MATCH($A1943,'10 Artikel'!$A:$A,0)),"")</f>
        <v>FRONT</v>
      </c>
      <c r="D1943" s="12" t="str">
        <f>IFERROR(INDEX('10 Artikel'!$F:$F,MATCH($A1943,'10 Artikel'!$A:$A,0)),"")</f>
        <v>FRONT</v>
      </c>
      <c r="E1943" s="12" t="str">
        <f>IFERROR(INDEX('10 Artikel'!$G:$G,MATCH($A1943,'10 Artikel'!$A:$A,0)),"")</f>
        <v>DREHTUER</v>
      </c>
      <c r="F1943" s="13" t="str">
        <f>IFERROR(INDEX('10 Artikel'!$H:$H,MATCH($A1943,'10 Artikel'!$A:$A,0)),"")</f>
        <v>AVPRO</v>
      </c>
      <c r="G1943" s="12" t="str">
        <f>IFERROR(INDEX('10 Artikel'!$I:$I,MATCH($A1943,'10 Artikel'!$A:$A,0)),"")</f>
        <v>MATRIX_AUF</v>
      </c>
      <c r="H1943" s="12" t="str">
        <f>IFERROR(INDEX('10 Artikel'!$J:$J,MATCH($A1943,'10 Artikel'!$A:$A,0)),"")</f>
        <v>Stück</v>
      </c>
      <c r="I1943" s="12" t="str">
        <f>IFERROR(INDEX('10 Artikel'!$K:$K,MATCH($A1943,'10 Artikel'!$A:$A,0)),"")</f>
        <v>BREITE × RASTER × LINIE_PG</v>
      </c>
      <c r="J1943" s="11" t="s">
        <v>1338</v>
      </c>
      <c r="K1943" s="11" t="s">
        <v>1334</v>
      </c>
      <c r="L1943" s="11" t="s">
        <v>885</v>
      </c>
      <c r="O1943" s="14">
        <v>450</v>
      </c>
      <c r="P1943" s="8" t="s">
        <v>846</v>
      </c>
      <c r="Q1943" s="8">
        <v>7</v>
      </c>
    </row>
    <row r="1944" customFormat="false" ht="15" hidden="false" customHeight="false" outlineLevel="0" collapsed="false">
      <c r="A1944" s="11" t="s">
        <v>411</v>
      </c>
      <c r="B1944" s="12" t="str">
        <f>IFERROR(INDEX('10 Artikel'!$C:$C,MATCH($A1944,'10 Artikel'!$A:$A,0)),"")</f>
        <v>Drehtür</v>
      </c>
      <c r="C1944" s="12" t="str">
        <f>IFERROR(INDEX('10 Artikel'!$E:$E,MATCH($A1944,'10 Artikel'!$A:$A,0)),"")</f>
        <v>FRONT</v>
      </c>
      <c r="D1944" s="12" t="str">
        <f>IFERROR(INDEX('10 Artikel'!$F:$F,MATCH($A1944,'10 Artikel'!$A:$A,0)),"")</f>
        <v>FRONT</v>
      </c>
      <c r="E1944" s="12" t="str">
        <f>IFERROR(INDEX('10 Artikel'!$G:$G,MATCH($A1944,'10 Artikel'!$A:$A,0)),"")</f>
        <v>DREHTUER</v>
      </c>
      <c r="F1944" s="13" t="str">
        <f>IFERROR(INDEX('10 Artikel'!$H:$H,MATCH($A1944,'10 Artikel'!$A:$A,0)),"")</f>
        <v>AVPRO</v>
      </c>
      <c r="G1944" s="12" t="str">
        <f>IFERROR(INDEX('10 Artikel'!$I:$I,MATCH($A1944,'10 Artikel'!$A:$A,0)),"")</f>
        <v>MATRIX_AUF</v>
      </c>
      <c r="H1944" s="12" t="str">
        <f>IFERROR(INDEX('10 Artikel'!$J:$J,MATCH($A1944,'10 Artikel'!$A:$A,0)),"")</f>
        <v>Stück</v>
      </c>
      <c r="I1944" s="12" t="str">
        <f>IFERROR(INDEX('10 Artikel'!$K:$K,MATCH($A1944,'10 Artikel'!$A:$A,0)),"")</f>
        <v>BREITE × RASTER × LINIE_PG</v>
      </c>
      <c r="J1944" s="11" t="s">
        <v>1338</v>
      </c>
      <c r="K1944" s="11" t="s">
        <v>1334</v>
      </c>
      <c r="L1944" s="11" t="s">
        <v>886</v>
      </c>
      <c r="O1944" s="14">
        <v>644.4</v>
      </c>
      <c r="P1944" s="8" t="s">
        <v>846</v>
      </c>
      <c r="Q1944" s="8">
        <v>7</v>
      </c>
    </row>
    <row r="1945" customFormat="false" ht="15" hidden="false" customHeight="false" outlineLevel="0" collapsed="false">
      <c r="A1945" s="11" t="s">
        <v>411</v>
      </c>
      <c r="B1945" s="12" t="str">
        <f>IFERROR(INDEX('10 Artikel'!$C:$C,MATCH($A1945,'10 Artikel'!$A:$A,0)),"")</f>
        <v>Drehtür</v>
      </c>
      <c r="C1945" s="12" t="str">
        <f>IFERROR(INDEX('10 Artikel'!$E:$E,MATCH($A1945,'10 Artikel'!$A:$A,0)),"")</f>
        <v>FRONT</v>
      </c>
      <c r="D1945" s="12" t="str">
        <f>IFERROR(INDEX('10 Artikel'!$F:$F,MATCH($A1945,'10 Artikel'!$A:$A,0)),"")</f>
        <v>FRONT</v>
      </c>
      <c r="E1945" s="12" t="str">
        <f>IFERROR(INDEX('10 Artikel'!$G:$G,MATCH($A1945,'10 Artikel'!$A:$A,0)),"")</f>
        <v>DREHTUER</v>
      </c>
      <c r="F1945" s="13" t="str">
        <f>IFERROR(INDEX('10 Artikel'!$H:$H,MATCH($A1945,'10 Artikel'!$A:$A,0)),"")</f>
        <v>AVPRO</v>
      </c>
      <c r="G1945" s="12" t="str">
        <f>IFERROR(INDEX('10 Artikel'!$I:$I,MATCH($A1945,'10 Artikel'!$A:$A,0)),"")</f>
        <v>MATRIX_AUF</v>
      </c>
      <c r="H1945" s="12" t="str">
        <f>IFERROR(INDEX('10 Artikel'!$J:$J,MATCH($A1945,'10 Artikel'!$A:$A,0)),"")</f>
        <v>Stück</v>
      </c>
      <c r="I1945" s="12" t="str">
        <f>IFERROR(INDEX('10 Artikel'!$K:$K,MATCH($A1945,'10 Artikel'!$A:$A,0)),"")</f>
        <v>BREITE × RASTER × LINIE_PG</v>
      </c>
      <c r="J1945" s="11" t="s">
        <v>1338</v>
      </c>
      <c r="K1945" s="11" t="s">
        <v>1334</v>
      </c>
      <c r="L1945" s="11" t="s">
        <v>887</v>
      </c>
      <c r="O1945" s="14">
        <v>610.8</v>
      </c>
      <c r="P1945" s="8" t="s">
        <v>846</v>
      </c>
      <c r="Q1945" s="8">
        <v>7</v>
      </c>
    </row>
    <row r="1946" customFormat="false" ht="15" hidden="false" customHeight="false" outlineLevel="0" collapsed="false">
      <c r="A1946" s="11" t="s">
        <v>411</v>
      </c>
      <c r="B1946" s="12" t="str">
        <f>IFERROR(INDEX('10 Artikel'!$C:$C,MATCH($A1946,'10 Artikel'!$A:$A,0)),"")</f>
        <v>Drehtür</v>
      </c>
      <c r="C1946" s="12" t="str">
        <f>IFERROR(INDEX('10 Artikel'!$E:$E,MATCH($A1946,'10 Artikel'!$A:$A,0)),"")</f>
        <v>FRONT</v>
      </c>
      <c r="D1946" s="12" t="str">
        <f>IFERROR(INDEX('10 Artikel'!$F:$F,MATCH($A1946,'10 Artikel'!$A:$A,0)),"")</f>
        <v>FRONT</v>
      </c>
      <c r="E1946" s="12" t="str">
        <f>IFERROR(INDEX('10 Artikel'!$G:$G,MATCH($A1946,'10 Artikel'!$A:$A,0)),"")</f>
        <v>DREHTUER</v>
      </c>
      <c r="F1946" s="13" t="str">
        <f>IFERROR(INDEX('10 Artikel'!$H:$H,MATCH($A1946,'10 Artikel'!$A:$A,0)),"")</f>
        <v>AVPRO</v>
      </c>
      <c r="G1946" s="12" t="str">
        <f>IFERROR(INDEX('10 Artikel'!$I:$I,MATCH($A1946,'10 Artikel'!$A:$A,0)),"")</f>
        <v>MATRIX_AUF</v>
      </c>
      <c r="H1946" s="12" t="str">
        <f>IFERROR(INDEX('10 Artikel'!$J:$J,MATCH($A1946,'10 Artikel'!$A:$A,0)),"")</f>
        <v>Stück</v>
      </c>
      <c r="I1946" s="12" t="str">
        <f>IFERROR(INDEX('10 Artikel'!$K:$K,MATCH($A1946,'10 Artikel'!$A:$A,0)),"")</f>
        <v>BREITE × RASTER × LINIE_PG</v>
      </c>
      <c r="J1946" s="11" t="s">
        <v>1338</v>
      </c>
      <c r="K1946" s="11" t="s">
        <v>1334</v>
      </c>
      <c r="L1946" s="11" t="s">
        <v>888</v>
      </c>
      <c r="O1946" s="14">
        <v>793.2</v>
      </c>
      <c r="P1946" s="8" t="s">
        <v>846</v>
      </c>
      <c r="Q1946" s="8">
        <v>7</v>
      </c>
    </row>
    <row r="1947" customFormat="false" ht="15" hidden="false" customHeight="false" outlineLevel="0" collapsed="false">
      <c r="A1947" s="11" t="s">
        <v>411</v>
      </c>
      <c r="B1947" s="12" t="str">
        <f>IFERROR(INDEX('10 Artikel'!$C:$C,MATCH($A1947,'10 Artikel'!$A:$A,0)),"")</f>
        <v>Drehtür</v>
      </c>
      <c r="C1947" s="12" t="str">
        <f>IFERROR(INDEX('10 Artikel'!$E:$E,MATCH($A1947,'10 Artikel'!$A:$A,0)),"")</f>
        <v>FRONT</v>
      </c>
      <c r="D1947" s="12" t="str">
        <f>IFERROR(INDEX('10 Artikel'!$F:$F,MATCH($A1947,'10 Artikel'!$A:$A,0)),"")</f>
        <v>FRONT</v>
      </c>
      <c r="E1947" s="12" t="str">
        <f>IFERROR(INDEX('10 Artikel'!$G:$G,MATCH($A1947,'10 Artikel'!$A:$A,0)),"")</f>
        <v>DREHTUER</v>
      </c>
      <c r="F1947" s="13" t="str">
        <f>IFERROR(INDEX('10 Artikel'!$H:$H,MATCH($A1947,'10 Artikel'!$A:$A,0)),"")</f>
        <v>AVPRO</v>
      </c>
      <c r="G1947" s="12" t="str">
        <f>IFERROR(INDEX('10 Artikel'!$I:$I,MATCH($A1947,'10 Artikel'!$A:$A,0)),"")</f>
        <v>MATRIX_AUF</v>
      </c>
      <c r="H1947" s="12" t="str">
        <f>IFERROR(INDEX('10 Artikel'!$J:$J,MATCH($A1947,'10 Artikel'!$A:$A,0)),"")</f>
        <v>Stück</v>
      </c>
      <c r="I1947" s="12" t="str">
        <f>IFERROR(INDEX('10 Artikel'!$K:$K,MATCH($A1947,'10 Artikel'!$A:$A,0)),"")</f>
        <v>BREITE × RASTER × LINIE_PG</v>
      </c>
      <c r="J1947" s="11" t="s">
        <v>1338</v>
      </c>
      <c r="K1947" s="11" t="s">
        <v>1334</v>
      </c>
      <c r="L1947" s="11" t="s">
        <v>889</v>
      </c>
      <c r="O1947" s="14">
        <v>915.6</v>
      </c>
      <c r="P1947" s="8" t="s">
        <v>846</v>
      </c>
      <c r="Q1947" s="8">
        <v>7</v>
      </c>
    </row>
    <row r="1948" customFormat="false" ht="15" hidden="false" customHeight="false" outlineLevel="0" collapsed="false">
      <c r="A1948" s="11" t="s">
        <v>411</v>
      </c>
      <c r="B1948" s="12" t="str">
        <f>IFERROR(INDEX('10 Artikel'!$C:$C,MATCH($A1948,'10 Artikel'!$A:$A,0)),"")</f>
        <v>Drehtür</v>
      </c>
      <c r="C1948" s="12" t="str">
        <f>IFERROR(INDEX('10 Artikel'!$E:$E,MATCH($A1948,'10 Artikel'!$A:$A,0)),"")</f>
        <v>FRONT</v>
      </c>
      <c r="D1948" s="12" t="str">
        <f>IFERROR(INDEX('10 Artikel'!$F:$F,MATCH($A1948,'10 Artikel'!$A:$A,0)),"")</f>
        <v>FRONT</v>
      </c>
      <c r="E1948" s="12" t="str">
        <f>IFERROR(INDEX('10 Artikel'!$G:$G,MATCH($A1948,'10 Artikel'!$A:$A,0)),"")</f>
        <v>DREHTUER</v>
      </c>
      <c r="F1948" s="13" t="str">
        <f>IFERROR(INDEX('10 Artikel'!$H:$H,MATCH($A1948,'10 Artikel'!$A:$A,0)),"")</f>
        <v>AVPRO</v>
      </c>
      <c r="G1948" s="12" t="str">
        <f>IFERROR(INDEX('10 Artikel'!$I:$I,MATCH($A1948,'10 Artikel'!$A:$A,0)),"")</f>
        <v>MATRIX_AUF</v>
      </c>
      <c r="H1948" s="12" t="str">
        <f>IFERROR(INDEX('10 Artikel'!$J:$J,MATCH($A1948,'10 Artikel'!$A:$A,0)),"")</f>
        <v>Stück</v>
      </c>
      <c r="I1948" s="12" t="str">
        <f>IFERROR(INDEX('10 Artikel'!$K:$K,MATCH($A1948,'10 Artikel'!$A:$A,0)),"")</f>
        <v>BREITE × RASTER × LINIE_PG</v>
      </c>
      <c r="J1948" s="11" t="s">
        <v>1338</v>
      </c>
      <c r="K1948" s="11" t="s">
        <v>1334</v>
      </c>
      <c r="L1948" s="11" t="s">
        <v>890</v>
      </c>
      <c r="O1948" s="14">
        <v>853.2</v>
      </c>
      <c r="P1948" s="8" t="s">
        <v>846</v>
      </c>
      <c r="Q1948" s="8">
        <v>7</v>
      </c>
    </row>
    <row r="1949" customFormat="false" ht="15" hidden="false" customHeight="false" outlineLevel="0" collapsed="false">
      <c r="A1949" s="11" t="s">
        <v>411</v>
      </c>
      <c r="B1949" s="12" t="str">
        <f>IFERROR(INDEX('10 Artikel'!$C:$C,MATCH($A1949,'10 Artikel'!$A:$A,0)),"")</f>
        <v>Drehtür</v>
      </c>
      <c r="C1949" s="12" t="str">
        <f>IFERROR(INDEX('10 Artikel'!$E:$E,MATCH($A1949,'10 Artikel'!$A:$A,0)),"")</f>
        <v>FRONT</v>
      </c>
      <c r="D1949" s="12" t="str">
        <f>IFERROR(INDEX('10 Artikel'!$F:$F,MATCH($A1949,'10 Artikel'!$A:$A,0)),"")</f>
        <v>FRONT</v>
      </c>
      <c r="E1949" s="12" t="str">
        <f>IFERROR(INDEX('10 Artikel'!$G:$G,MATCH($A1949,'10 Artikel'!$A:$A,0)),"")</f>
        <v>DREHTUER</v>
      </c>
      <c r="F1949" s="13" t="str">
        <f>IFERROR(INDEX('10 Artikel'!$H:$H,MATCH($A1949,'10 Artikel'!$A:$A,0)),"")</f>
        <v>AVPRO</v>
      </c>
      <c r="G1949" s="12" t="str">
        <f>IFERROR(INDEX('10 Artikel'!$I:$I,MATCH($A1949,'10 Artikel'!$A:$A,0)),"")</f>
        <v>MATRIX_AUF</v>
      </c>
      <c r="H1949" s="12" t="str">
        <f>IFERROR(INDEX('10 Artikel'!$J:$J,MATCH($A1949,'10 Artikel'!$A:$A,0)),"")</f>
        <v>Stück</v>
      </c>
      <c r="I1949" s="12" t="str">
        <f>IFERROR(INDEX('10 Artikel'!$K:$K,MATCH($A1949,'10 Artikel'!$A:$A,0)),"")</f>
        <v>BREITE × RASTER × LINIE_PG</v>
      </c>
      <c r="J1949" s="11" t="s">
        <v>1339</v>
      </c>
      <c r="K1949" s="11" t="s">
        <v>1334</v>
      </c>
      <c r="L1949" s="11" t="s">
        <v>880</v>
      </c>
      <c r="O1949" s="14">
        <v>351.6</v>
      </c>
      <c r="P1949" s="8" t="s">
        <v>846</v>
      </c>
      <c r="Q1949" s="8">
        <v>7</v>
      </c>
    </row>
    <row r="1950" customFormat="false" ht="15" hidden="false" customHeight="false" outlineLevel="0" collapsed="false">
      <c r="A1950" s="11" t="s">
        <v>411</v>
      </c>
      <c r="B1950" s="12" t="str">
        <f>IFERROR(INDEX('10 Artikel'!$C:$C,MATCH($A1950,'10 Artikel'!$A:$A,0)),"")</f>
        <v>Drehtür</v>
      </c>
      <c r="C1950" s="12" t="str">
        <f>IFERROR(INDEX('10 Artikel'!$E:$E,MATCH($A1950,'10 Artikel'!$A:$A,0)),"")</f>
        <v>FRONT</v>
      </c>
      <c r="D1950" s="12" t="str">
        <f>IFERROR(INDEX('10 Artikel'!$F:$F,MATCH($A1950,'10 Artikel'!$A:$A,0)),"")</f>
        <v>FRONT</v>
      </c>
      <c r="E1950" s="12" t="str">
        <f>IFERROR(INDEX('10 Artikel'!$G:$G,MATCH($A1950,'10 Artikel'!$A:$A,0)),"")</f>
        <v>DREHTUER</v>
      </c>
      <c r="F1950" s="13" t="str">
        <f>IFERROR(INDEX('10 Artikel'!$H:$H,MATCH($A1950,'10 Artikel'!$A:$A,0)),"")</f>
        <v>AVPRO</v>
      </c>
      <c r="G1950" s="12" t="str">
        <f>IFERROR(INDEX('10 Artikel'!$I:$I,MATCH($A1950,'10 Artikel'!$A:$A,0)),"")</f>
        <v>MATRIX_AUF</v>
      </c>
      <c r="H1950" s="12" t="str">
        <f>IFERROR(INDEX('10 Artikel'!$J:$J,MATCH($A1950,'10 Artikel'!$A:$A,0)),"")</f>
        <v>Stück</v>
      </c>
      <c r="I1950" s="12" t="str">
        <f>IFERROR(INDEX('10 Artikel'!$K:$K,MATCH($A1950,'10 Artikel'!$A:$A,0)),"")</f>
        <v>BREITE × RASTER × LINIE_PG</v>
      </c>
      <c r="J1950" s="11" t="s">
        <v>1339</v>
      </c>
      <c r="K1950" s="11" t="s">
        <v>1334</v>
      </c>
      <c r="L1950" s="11" t="s">
        <v>882</v>
      </c>
      <c r="O1950" s="14">
        <v>417.6</v>
      </c>
      <c r="P1950" s="8" t="s">
        <v>846</v>
      </c>
      <c r="Q1950" s="8">
        <v>7</v>
      </c>
    </row>
    <row r="1951" customFormat="false" ht="15" hidden="false" customHeight="false" outlineLevel="0" collapsed="false">
      <c r="A1951" s="11" t="s">
        <v>411</v>
      </c>
      <c r="B1951" s="12" t="str">
        <f>IFERROR(INDEX('10 Artikel'!$C:$C,MATCH($A1951,'10 Artikel'!$A:$A,0)),"")</f>
        <v>Drehtür</v>
      </c>
      <c r="C1951" s="12" t="str">
        <f>IFERROR(INDEX('10 Artikel'!$E:$E,MATCH($A1951,'10 Artikel'!$A:$A,0)),"")</f>
        <v>FRONT</v>
      </c>
      <c r="D1951" s="12" t="str">
        <f>IFERROR(INDEX('10 Artikel'!$F:$F,MATCH($A1951,'10 Artikel'!$A:$A,0)),"")</f>
        <v>FRONT</v>
      </c>
      <c r="E1951" s="12" t="str">
        <f>IFERROR(INDEX('10 Artikel'!$G:$G,MATCH($A1951,'10 Artikel'!$A:$A,0)),"")</f>
        <v>DREHTUER</v>
      </c>
      <c r="F1951" s="13" t="str">
        <f>IFERROR(INDEX('10 Artikel'!$H:$H,MATCH($A1951,'10 Artikel'!$A:$A,0)),"")</f>
        <v>AVPRO</v>
      </c>
      <c r="G1951" s="12" t="str">
        <f>IFERROR(INDEX('10 Artikel'!$I:$I,MATCH($A1951,'10 Artikel'!$A:$A,0)),"")</f>
        <v>MATRIX_AUF</v>
      </c>
      <c r="H1951" s="12" t="str">
        <f>IFERROR(INDEX('10 Artikel'!$J:$J,MATCH($A1951,'10 Artikel'!$A:$A,0)),"")</f>
        <v>Stück</v>
      </c>
      <c r="I1951" s="12" t="str">
        <f>IFERROR(INDEX('10 Artikel'!$K:$K,MATCH($A1951,'10 Artikel'!$A:$A,0)),"")</f>
        <v>BREITE × RASTER × LINIE_PG</v>
      </c>
      <c r="J1951" s="11" t="s">
        <v>1339</v>
      </c>
      <c r="K1951" s="11" t="s">
        <v>1334</v>
      </c>
      <c r="L1951" s="11" t="s">
        <v>883</v>
      </c>
      <c r="O1951" s="14">
        <v>482.4</v>
      </c>
      <c r="P1951" s="8" t="s">
        <v>846</v>
      </c>
      <c r="Q1951" s="8">
        <v>7</v>
      </c>
    </row>
    <row r="1952" customFormat="false" ht="15" hidden="false" customHeight="false" outlineLevel="0" collapsed="false">
      <c r="A1952" s="11" t="s">
        <v>411</v>
      </c>
      <c r="B1952" s="12" t="str">
        <f>IFERROR(INDEX('10 Artikel'!$C:$C,MATCH($A1952,'10 Artikel'!$A:$A,0)),"")</f>
        <v>Drehtür</v>
      </c>
      <c r="C1952" s="12" t="str">
        <f>IFERROR(INDEX('10 Artikel'!$E:$E,MATCH($A1952,'10 Artikel'!$A:$A,0)),"")</f>
        <v>FRONT</v>
      </c>
      <c r="D1952" s="12" t="str">
        <f>IFERROR(INDEX('10 Artikel'!$F:$F,MATCH($A1952,'10 Artikel'!$A:$A,0)),"")</f>
        <v>FRONT</v>
      </c>
      <c r="E1952" s="12" t="str">
        <f>IFERROR(INDEX('10 Artikel'!$G:$G,MATCH($A1952,'10 Artikel'!$A:$A,0)),"")</f>
        <v>DREHTUER</v>
      </c>
      <c r="F1952" s="13" t="str">
        <f>IFERROR(INDEX('10 Artikel'!$H:$H,MATCH($A1952,'10 Artikel'!$A:$A,0)),"")</f>
        <v>AVPRO</v>
      </c>
      <c r="G1952" s="12" t="str">
        <f>IFERROR(INDEX('10 Artikel'!$I:$I,MATCH($A1952,'10 Artikel'!$A:$A,0)),"")</f>
        <v>MATRIX_AUF</v>
      </c>
      <c r="H1952" s="12" t="str">
        <f>IFERROR(INDEX('10 Artikel'!$J:$J,MATCH($A1952,'10 Artikel'!$A:$A,0)),"")</f>
        <v>Stück</v>
      </c>
      <c r="I1952" s="12" t="str">
        <f>IFERROR(INDEX('10 Artikel'!$K:$K,MATCH($A1952,'10 Artikel'!$A:$A,0)),"")</f>
        <v>BREITE × RASTER × LINIE_PG</v>
      </c>
      <c r="J1952" s="11" t="s">
        <v>1339</v>
      </c>
      <c r="K1952" s="11" t="s">
        <v>1334</v>
      </c>
      <c r="L1952" s="11" t="s">
        <v>884</v>
      </c>
      <c r="O1952" s="14">
        <v>597.6</v>
      </c>
      <c r="P1952" s="8" t="s">
        <v>846</v>
      </c>
      <c r="Q1952" s="8">
        <v>7</v>
      </c>
    </row>
    <row r="1953" customFormat="false" ht="15" hidden="false" customHeight="false" outlineLevel="0" collapsed="false">
      <c r="A1953" s="11" t="s">
        <v>411</v>
      </c>
      <c r="B1953" s="12" t="str">
        <f>IFERROR(INDEX('10 Artikel'!$C:$C,MATCH($A1953,'10 Artikel'!$A:$A,0)),"")</f>
        <v>Drehtür</v>
      </c>
      <c r="C1953" s="12" t="str">
        <f>IFERROR(INDEX('10 Artikel'!$E:$E,MATCH($A1953,'10 Artikel'!$A:$A,0)),"")</f>
        <v>FRONT</v>
      </c>
      <c r="D1953" s="12" t="str">
        <f>IFERROR(INDEX('10 Artikel'!$F:$F,MATCH($A1953,'10 Artikel'!$A:$A,0)),"")</f>
        <v>FRONT</v>
      </c>
      <c r="E1953" s="12" t="str">
        <f>IFERROR(INDEX('10 Artikel'!$G:$G,MATCH($A1953,'10 Artikel'!$A:$A,0)),"")</f>
        <v>DREHTUER</v>
      </c>
      <c r="F1953" s="13" t="str">
        <f>IFERROR(INDEX('10 Artikel'!$H:$H,MATCH($A1953,'10 Artikel'!$A:$A,0)),"")</f>
        <v>AVPRO</v>
      </c>
      <c r="G1953" s="12" t="str">
        <f>IFERROR(INDEX('10 Artikel'!$I:$I,MATCH($A1953,'10 Artikel'!$A:$A,0)),"")</f>
        <v>MATRIX_AUF</v>
      </c>
      <c r="H1953" s="12" t="str">
        <f>IFERROR(INDEX('10 Artikel'!$J:$J,MATCH($A1953,'10 Artikel'!$A:$A,0)),"")</f>
        <v>Stück</v>
      </c>
      <c r="I1953" s="12" t="str">
        <f>IFERROR(INDEX('10 Artikel'!$K:$K,MATCH($A1953,'10 Artikel'!$A:$A,0)),"")</f>
        <v>BREITE × RASTER × LINIE_PG</v>
      </c>
      <c r="J1953" s="11" t="s">
        <v>1339</v>
      </c>
      <c r="K1953" s="11" t="s">
        <v>1334</v>
      </c>
      <c r="L1953" s="11" t="s">
        <v>885</v>
      </c>
      <c r="O1953" s="14">
        <v>507.6</v>
      </c>
      <c r="P1953" s="8" t="s">
        <v>846</v>
      </c>
      <c r="Q1953" s="8">
        <v>7</v>
      </c>
    </row>
    <row r="1954" customFormat="false" ht="15" hidden="false" customHeight="false" outlineLevel="0" collapsed="false">
      <c r="A1954" s="11" t="s">
        <v>411</v>
      </c>
      <c r="B1954" s="12" t="str">
        <f>IFERROR(INDEX('10 Artikel'!$C:$C,MATCH($A1954,'10 Artikel'!$A:$A,0)),"")</f>
        <v>Drehtür</v>
      </c>
      <c r="C1954" s="12" t="str">
        <f>IFERROR(INDEX('10 Artikel'!$E:$E,MATCH($A1954,'10 Artikel'!$A:$A,0)),"")</f>
        <v>FRONT</v>
      </c>
      <c r="D1954" s="12" t="str">
        <f>IFERROR(INDEX('10 Artikel'!$F:$F,MATCH($A1954,'10 Artikel'!$A:$A,0)),"")</f>
        <v>FRONT</v>
      </c>
      <c r="E1954" s="12" t="str">
        <f>IFERROR(INDEX('10 Artikel'!$G:$G,MATCH($A1954,'10 Artikel'!$A:$A,0)),"")</f>
        <v>DREHTUER</v>
      </c>
      <c r="F1954" s="13" t="str">
        <f>IFERROR(INDEX('10 Artikel'!$H:$H,MATCH($A1954,'10 Artikel'!$A:$A,0)),"")</f>
        <v>AVPRO</v>
      </c>
      <c r="G1954" s="12" t="str">
        <f>IFERROR(INDEX('10 Artikel'!$I:$I,MATCH($A1954,'10 Artikel'!$A:$A,0)),"")</f>
        <v>MATRIX_AUF</v>
      </c>
      <c r="H1954" s="12" t="str">
        <f>IFERROR(INDEX('10 Artikel'!$J:$J,MATCH($A1954,'10 Artikel'!$A:$A,0)),"")</f>
        <v>Stück</v>
      </c>
      <c r="I1954" s="12" t="str">
        <f>IFERROR(INDEX('10 Artikel'!$K:$K,MATCH($A1954,'10 Artikel'!$A:$A,0)),"")</f>
        <v>BREITE × RASTER × LINIE_PG</v>
      </c>
      <c r="J1954" s="11" t="s">
        <v>1339</v>
      </c>
      <c r="K1954" s="11" t="s">
        <v>1334</v>
      </c>
      <c r="L1954" s="11" t="s">
        <v>886</v>
      </c>
      <c r="O1954" s="14">
        <v>724.8</v>
      </c>
      <c r="P1954" s="8" t="s">
        <v>846</v>
      </c>
      <c r="Q1954" s="8">
        <v>7</v>
      </c>
    </row>
    <row r="1955" customFormat="false" ht="15" hidden="false" customHeight="false" outlineLevel="0" collapsed="false">
      <c r="A1955" s="11" t="s">
        <v>411</v>
      </c>
      <c r="B1955" s="12" t="str">
        <f>IFERROR(INDEX('10 Artikel'!$C:$C,MATCH($A1955,'10 Artikel'!$A:$A,0)),"")</f>
        <v>Drehtür</v>
      </c>
      <c r="C1955" s="12" t="str">
        <f>IFERROR(INDEX('10 Artikel'!$E:$E,MATCH($A1955,'10 Artikel'!$A:$A,0)),"")</f>
        <v>FRONT</v>
      </c>
      <c r="D1955" s="12" t="str">
        <f>IFERROR(INDEX('10 Artikel'!$F:$F,MATCH($A1955,'10 Artikel'!$A:$A,0)),"")</f>
        <v>FRONT</v>
      </c>
      <c r="E1955" s="12" t="str">
        <f>IFERROR(INDEX('10 Artikel'!$G:$G,MATCH($A1955,'10 Artikel'!$A:$A,0)),"")</f>
        <v>DREHTUER</v>
      </c>
      <c r="F1955" s="13" t="str">
        <f>IFERROR(INDEX('10 Artikel'!$H:$H,MATCH($A1955,'10 Artikel'!$A:$A,0)),"")</f>
        <v>AVPRO</v>
      </c>
      <c r="G1955" s="12" t="str">
        <f>IFERROR(INDEX('10 Artikel'!$I:$I,MATCH($A1955,'10 Artikel'!$A:$A,0)),"")</f>
        <v>MATRIX_AUF</v>
      </c>
      <c r="H1955" s="12" t="str">
        <f>IFERROR(INDEX('10 Artikel'!$J:$J,MATCH($A1955,'10 Artikel'!$A:$A,0)),"")</f>
        <v>Stück</v>
      </c>
      <c r="I1955" s="12" t="str">
        <f>IFERROR(INDEX('10 Artikel'!$K:$K,MATCH($A1955,'10 Artikel'!$A:$A,0)),"")</f>
        <v>BREITE × RASTER × LINIE_PG</v>
      </c>
      <c r="J1955" s="11" t="s">
        <v>1339</v>
      </c>
      <c r="K1955" s="11" t="s">
        <v>1334</v>
      </c>
      <c r="L1955" s="11" t="s">
        <v>887</v>
      </c>
      <c r="O1955" s="14">
        <v>687.6</v>
      </c>
      <c r="P1955" s="8" t="s">
        <v>846</v>
      </c>
      <c r="Q1955" s="8">
        <v>7</v>
      </c>
    </row>
    <row r="1956" customFormat="false" ht="15" hidden="false" customHeight="false" outlineLevel="0" collapsed="false">
      <c r="A1956" s="11" t="s">
        <v>411</v>
      </c>
      <c r="B1956" s="12" t="str">
        <f>IFERROR(INDEX('10 Artikel'!$C:$C,MATCH($A1956,'10 Artikel'!$A:$A,0)),"")</f>
        <v>Drehtür</v>
      </c>
      <c r="C1956" s="12" t="str">
        <f>IFERROR(INDEX('10 Artikel'!$E:$E,MATCH($A1956,'10 Artikel'!$A:$A,0)),"")</f>
        <v>FRONT</v>
      </c>
      <c r="D1956" s="12" t="str">
        <f>IFERROR(INDEX('10 Artikel'!$F:$F,MATCH($A1956,'10 Artikel'!$A:$A,0)),"")</f>
        <v>FRONT</v>
      </c>
      <c r="E1956" s="12" t="str">
        <f>IFERROR(INDEX('10 Artikel'!$G:$G,MATCH($A1956,'10 Artikel'!$A:$A,0)),"")</f>
        <v>DREHTUER</v>
      </c>
      <c r="F1956" s="13" t="str">
        <f>IFERROR(INDEX('10 Artikel'!$H:$H,MATCH($A1956,'10 Artikel'!$A:$A,0)),"")</f>
        <v>AVPRO</v>
      </c>
      <c r="G1956" s="12" t="str">
        <f>IFERROR(INDEX('10 Artikel'!$I:$I,MATCH($A1956,'10 Artikel'!$A:$A,0)),"")</f>
        <v>MATRIX_AUF</v>
      </c>
      <c r="H1956" s="12" t="str">
        <f>IFERROR(INDEX('10 Artikel'!$J:$J,MATCH($A1956,'10 Artikel'!$A:$A,0)),"")</f>
        <v>Stück</v>
      </c>
      <c r="I1956" s="12" t="str">
        <f>IFERROR(INDEX('10 Artikel'!$K:$K,MATCH($A1956,'10 Artikel'!$A:$A,0)),"")</f>
        <v>BREITE × RASTER × LINIE_PG</v>
      </c>
      <c r="J1956" s="11" t="s">
        <v>1339</v>
      </c>
      <c r="K1956" s="11" t="s">
        <v>1334</v>
      </c>
      <c r="L1956" s="11" t="s">
        <v>888</v>
      </c>
      <c r="O1956" s="14">
        <v>895.2</v>
      </c>
      <c r="P1956" s="8" t="s">
        <v>846</v>
      </c>
      <c r="Q1956" s="8">
        <v>7</v>
      </c>
    </row>
    <row r="1957" customFormat="false" ht="15" hidden="false" customHeight="false" outlineLevel="0" collapsed="false">
      <c r="A1957" s="11" t="s">
        <v>411</v>
      </c>
      <c r="B1957" s="12" t="str">
        <f>IFERROR(INDEX('10 Artikel'!$C:$C,MATCH($A1957,'10 Artikel'!$A:$A,0)),"")</f>
        <v>Drehtür</v>
      </c>
      <c r="C1957" s="12" t="str">
        <f>IFERROR(INDEX('10 Artikel'!$E:$E,MATCH($A1957,'10 Artikel'!$A:$A,0)),"")</f>
        <v>FRONT</v>
      </c>
      <c r="D1957" s="12" t="str">
        <f>IFERROR(INDEX('10 Artikel'!$F:$F,MATCH($A1957,'10 Artikel'!$A:$A,0)),"")</f>
        <v>FRONT</v>
      </c>
      <c r="E1957" s="12" t="str">
        <f>IFERROR(INDEX('10 Artikel'!$G:$G,MATCH($A1957,'10 Artikel'!$A:$A,0)),"")</f>
        <v>DREHTUER</v>
      </c>
      <c r="F1957" s="13" t="str">
        <f>IFERROR(INDEX('10 Artikel'!$H:$H,MATCH($A1957,'10 Artikel'!$A:$A,0)),"")</f>
        <v>AVPRO</v>
      </c>
      <c r="G1957" s="12" t="str">
        <f>IFERROR(INDEX('10 Artikel'!$I:$I,MATCH($A1957,'10 Artikel'!$A:$A,0)),"")</f>
        <v>MATRIX_AUF</v>
      </c>
      <c r="H1957" s="12" t="str">
        <f>IFERROR(INDEX('10 Artikel'!$J:$J,MATCH($A1957,'10 Artikel'!$A:$A,0)),"")</f>
        <v>Stück</v>
      </c>
      <c r="I1957" s="12" t="str">
        <f>IFERROR(INDEX('10 Artikel'!$K:$K,MATCH($A1957,'10 Artikel'!$A:$A,0)),"")</f>
        <v>BREITE × RASTER × LINIE_PG</v>
      </c>
      <c r="J1957" s="11" t="s">
        <v>1339</v>
      </c>
      <c r="K1957" s="11" t="s">
        <v>1334</v>
      </c>
      <c r="L1957" s="11" t="s">
        <v>889</v>
      </c>
      <c r="O1957" s="14">
        <v>1032</v>
      </c>
      <c r="P1957" s="8" t="s">
        <v>846</v>
      </c>
      <c r="Q1957" s="8">
        <v>7</v>
      </c>
    </row>
    <row r="1958" customFormat="false" ht="15" hidden="false" customHeight="false" outlineLevel="0" collapsed="false">
      <c r="A1958" s="11" t="s">
        <v>411</v>
      </c>
      <c r="B1958" s="12" t="str">
        <f>IFERROR(INDEX('10 Artikel'!$C:$C,MATCH($A1958,'10 Artikel'!$A:$A,0)),"")</f>
        <v>Drehtür</v>
      </c>
      <c r="C1958" s="12" t="str">
        <f>IFERROR(INDEX('10 Artikel'!$E:$E,MATCH($A1958,'10 Artikel'!$A:$A,0)),"")</f>
        <v>FRONT</v>
      </c>
      <c r="D1958" s="12" t="str">
        <f>IFERROR(INDEX('10 Artikel'!$F:$F,MATCH($A1958,'10 Artikel'!$A:$A,0)),"")</f>
        <v>FRONT</v>
      </c>
      <c r="E1958" s="12" t="str">
        <f>IFERROR(INDEX('10 Artikel'!$G:$G,MATCH($A1958,'10 Artikel'!$A:$A,0)),"")</f>
        <v>DREHTUER</v>
      </c>
      <c r="F1958" s="13" t="str">
        <f>IFERROR(INDEX('10 Artikel'!$H:$H,MATCH($A1958,'10 Artikel'!$A:$A,0)),"")</f>
        <v>AVPRO</v>
      </c>
      <c r="G1958" s="12" t="str">
        <f>IFERROR(INDEX('10 Artikel'!$I:$I,MATCH($A1958,'10 Artikel'!$A:$A,0)),"")</f>
        <v>MATRIX_AUF</v>
      </c>
      <c r="H1958" s="12" t="str">
        <f>IFERROR(INDEX('10 Artikel'!$J:$J,MATCH($A1958,'10 Artikel'!$A:$A,0)),"")</f>
        <v>Stück</v>
      </c>
      <c r="I1958" s="12" t="str">
        <f>IFERROR(INDEX('10 Artikel'!$K:$K,MATCH($A1958,'10 Artikel'!$A:$A,0)),"")</f>
        <v>BREITE × RASTER × LINIE_PG</v>
      </c>
      <c r="J1958" s="11" t="s">
        <v>1339</v>
      </c>
      <c r="K1958" s="11" t="s">
        <v>1334</v>
      </c>
      <c r="L1958" s="11" t="s">
        <v>890</v>
      </c>
      <c r="O1958" s="14">
        <v>963.6</v>
      </c>
      <c r="P1958" s="8" t="s">
        <v>846</v>
      </c>
      <c r="Q1958" s="8">
        <v>7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  <row r="40" customFormat="false" ht="15" hidden="false" customHeight="false" outlineLevel="0" collapsed="false">
      <c r="A40" s="8" t="s">
        <v>1046</v>
      </c>
      <c r="B40" s="8" t="s">
        <v>1582</v>
      </c>
      <c r="C40" s="8" t="s">
        <v>197</v>
      </c>
      <c r="D40" s="8" t="s">
        <v>197</v>
      </c>
      <c r="E40" s="8" t="s">
        <v>1593</v>
      </c>
      <c r="F40" s="8" t="s">
        <v>1594</v>
      </c>
      <c r="G40" s="8" t="s">
        <v>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70</v>
      </c>
    </row>
    <row r="2" spans="1:2" x14ac:dyDescent="0.35">
      <c r="A2" s="8" t="s">
        <v>125</v>
      </c>
      <c r="B2" s="8" t="s">
        <v>1555</v>
      </c>
      <c r="C2" s="8" t="s">
        <v>1556</v>
      </c>
    </row>
    <row r="3" spans="1:2" x14ac:dyDescent="0.35">
      <c r="A3" s="8" t="s">
        <v>1557</v>
      </c>
      <c r="B3" s="8" t="s">
        <v>1558</v>
      </c>
      <c r="C3" s="8" t="s">
        <v>1559</v>
      </c>
    </row>
    <row r="4" spans="1:2" x14ac:dyDescent="0.35">
      <c r="A4" s="8" t="s">
        <v>1560</v>
      </c>
      <c r="B4" s="8" t="s">
        <v>1561</v>
      </c>
      <c r="C4" s="8" t="s">
        <v>1562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  <row r="14" customFormat="false" ht="15" hidden="false" customHeight="false" outlineLevel="0" collapsed="false">
      <c r="A14" s="8" t="s">
        <v>1563</v>
      </c>
      <c r="B14" s="8" t="s">
        <v>1564</v>
      </c>
      <c r="C14" s="8" t="s">
        <v>1565</v>
      </c>
    </row>
    <row r="15" customFormat="false" ht="15" hidden="false" customHeight="false" outlineLevel="0" collapsed="false">
      <c r="A15" s="8" t="s">
        <v>1566</v>
      </c>
      <c r="B15" s="8" t="s">
        <v>1567</v>
      </c>
      <c r="C15" s="8" t="s">
        <v>1568</v>
      </c>
    </row>
    <row r="16" customFormat="false" ht="15" hidden="false" customHeight="false" outlineLevel="0" collapsed="false">
      <c r="A16" s="8" t="s">
        <v>157</v>
      </c>
      <c r="B16" s="8" t="s">
        <v>1569</v>
      </c>
      <c r="C16" s="8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 t="s">
        <v>1310</v>
      </c>
      <c r="C6" s="8" t="s">
        <v>1595</v>
      </c>
    </row>
    <row r="7" spans="1:3" x14ac:dyDescent="0.35">
      <c r="A7" s="8" t="s">
        <v>1207</v>
      </c>
      <c r="B7" s="8" t="s">
        <v>1310</v>
      </c>
      <c r="C7" s="8" t="s">
        <v>1596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  <row r="23" customFormat="false" ht="15" hidden="false" customHeight="false" outlineLevel="0" collapsed="false">
      <c r="A23" s="8" t="s">
        <v>1537</v>
      </c>
      <c r="B23" s="8" t="s">
        <v>1310</v>
      </c>
      <c r="C23" s="8" t="s">
        <v>1597</v>
      </c>
    </row>
    <row r="24" customFormat="false" ht="15" hidden="false" customHeight="false" outlineLevel="0" collapsed="false">
      <c r="A24" s="8" t="s">
        <v>1540</v>
      </c>
      <c r="B24" s="8" t="s">
        <v>1310</v>
      </c>
      <c r="C24" s="8" t="s">
        <v>1598</v>
      </c>
    </row>
    <row r="25" customFormat="false" ht="15" hidden="false" customHeight="false" outlineLevel="0" collapsed="false">
      <c r="A25" s="8" t="s">
        <v>1553</v>
      </c>
      <c r="B25" s="8" t="s">
        <v>1017</v>
      </c>
      <c r="C25" s="8" t="s">
        <v>1554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